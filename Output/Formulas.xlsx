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Q" sheetId="1" r:id="rId5"/>
    <sheet state="visible" name="medals" sheetId="2" r:id="rId6"/>
    <sheet state="visible" name="Staff" sheetId="3" r:id="rId7"/>
    <sheet state="visible" name="Formulas" sheetId="4" r:id="rId8"/>
  </sheets>
  <definedNames>
    <definedName localSheetId="2" name="ExternalData_1">Staff!$A$1:$M$261</definedName>
    <definedName localSheetId="1" name="ExternalData_1">medals!$A$1:$G$94</definedName>
    <definedName hidden="1" localSheetId="1" name="Z_ECD5A9E3_7531_46D6_8D02_004E9B21392B_.wvu.FilterData">medals!$A$1:$G$94</definedName>
    <definedName hidden="1" localSheetId="2" name="Z_45D7F98A_2536_462D_AEFE_0C5074F66079_.wvu.FilterData">Staff!$A$1:$M$261</definedName>
    <definedName hidden="1" localSheetId="3" name="Z_1036238D_544E_4D2F_AC4D_1DE43BEAAE1E_.wvu.FilterData">Formulas!$B$3:$F$15</definedName>
  </definedNames>
  <calcPr/>
  <customWorkbookViews>
    <customWorkbookView activeSheetId="0" maximized="1" windowHeight="0" windowWidth="0" guid="{ECD5A9E3-7531-46D6-8D02-004E9B21392B}" name="medals filter view"/>
    <customWorkbookView activeSheetId="0" maximized="1" windowHeight="0" windowWidth="0" guid="{45D7F98A-2536-462D-AEFE-0C5074F66079}" name="Staff filter view"/>
    <customWorkbookView activeSheetId="0" maximized="1" windowHeight="0" windowWidth="0" guid="{1036238D-544E-4D2F-AC4D-1DE43BEAAE1E}" name="Table3 filter view"/>
  </customWorkbookViews>
</workbook>
</file>

<file path=xl/sharedStrings.xml><?xml version="1.0" encoding="utf-8"?>
<sst xmlns="http://schemas.openxmlformats.org/spreadsheetml/2006/main" count="2679" uniqueCount="955">
  <si>
    <t>How to use Power Query</t>
  </si>
  <si>
    <t>Source 1</t>
  </si>
  <si>
    <t>https://en.wikipedia.org/wiki/2020_Summer_Olympics_medal_table</t>
  </si>
  <si>
    <t>Source 2</t>
  </si>
  <si>
    <t>Staff data file</t>
  </si>
  <si>
    <t>Rank</t>
  </si>
  <si>
    <t>Emp ID</t>
  </si>
  <si>
    <t>Country</t>
  </si>
  <si>
    <t>First Name</t>
  </si>
  <si>
    <t>Gold</t>
  </si>
  <si>
    <t>Last Name</t>
  </si>
  <si>
    <t>Silver</t>
  </si>
  <si>
    <t>Gender</t>
  </si>
  <si>
    <t>Bronze</t>
  </si>
  <si>
    <t>Department</t>
  </si>
  <si>
    <t>Total</t>
  </si>
  <si>
    <t>Salary</t>
  </si>
  <si>
    <t>Salary Bucket</t>
  </si>
  <si>
    <t>Division</t>
  </si>
  <si>
    <t>Start Date</t>
  </si>
  <si>
    <t>FTE</t>
  </si>
  <si>
    <t>1</t>
  </si>
  <si>
    <t>Employee type</t>
  </si>
  <si>
    <t>Work location</t>
  </si>
  <si>
    <t>United States</t>
  </si>
  <si>
    <t>Age</t>
  </si>
  <si>
    <t>Work Type</t>
  </si>
  <si>
    <t>PR00147</t>
  </si>
  <si>
    <t>Minerva</t>
  </si>
  <si>
    <t>Ricardot</t>
  </si>
  <si>
    <t>Male</t>
  </si>
  <si>
    <t>Engineering</t>
  </si>
  <si>
    <t>Above 100k</t>
  </si>
  <si>
    <t>2</t>
  </si>
  <si>
    <t>China</t>
  </si>
  <si>
    <t>Permanent</t>
  </si>
  <si>
    <t>Remote</t>
  </si>
  <si>
    <t>3</t>
  </si>
  <si>
    <t>Japan</t>
  </si>
  <si>
    <t>Full time</t>
  </si>
  <si>
    <t>4</t>
  </si>
  <si>
    <t>PR04686</t>
  </si>
  <si>
    <t>Great Britain</t>
  </si>
  <si>
    <t>Oona</t>
  </si>
  <si>
    <t>Donan</t>
  </si>
  <si>
    <t>Female</t>
  </si>
  <si>
    <t>Business Development</t>
  </si>
  <si>
    <t>50k to 100k</t>
  </si>
  <si>
    <t>5</t>
  </si>
  <si>
    <t>ROC</t>
  </si>
  <si>
    <t>Seattle, USA</t>
  </si>
  <si>
    <t>Part time</t>
  </si>
  <si>
    <t>6</t>
  </si>
  <si>
    <t>SQ04612</t>
  </si>
  <si>
    <t>Australia</t>
  </si>
  <si>
    <t>Mick</t>
  </si>
  <si>
    <t>Spraberry</t>
  </si>
  <si>
    <t>Services</t>
  </si>
  <si>
    <t>7</t>
  </si>
  <si>
    <t>Netherlands</t>
  </si>
  <si>
    <t>VT01803</t>
  </si>
  <si>
    <t>8</t>
  </si>
  <si>
    <t>Freddy</t>
  </si>
  <si>
    <t>France</t>
  </si>
  <si>
    <t>Linford</t>
  </si>
  <si>
    <t>Training</t>
  </si>
  <si>
    <t>9</t>
  </si>
  <si>
    <t>Fixed Term</t>
  </si>
  <si>
    <t>Germany</t>
  </si>
  <si>
    <t>TN02749</t>
  </si>
  <si>
    <t>Parasuramudu</t>
  </si>
  <si>
    <t>Jamakayala</t>
  </si>
  <si>
    <t>10</t>
  </si>
  <si>
    <t>Italy</t>
  </si>
  <si>
    <t>Hyderabad, India</t>
  </si>
  <si>
    <t>11</t>
  </si>
  <si>
    <t>Canada</t>
  </si>
  <si>
    <t>SQ00144</t>
  </si>
  <si>
    <t>Collen</t>
  </si>
  <si>
    <t>Dunbleton</t>
  </si>
  <si>
    <t>12</t>
  </si>
  <si>
    <t>Brazil</t>
  </si>
  <si>
    <t>13</t>
  </si>
  <si>
    <t>New Zealand</t>
  </si>
  <si>
    <t>Wellington, New Zealand</t>
  </si>
  <si>
    <t>PR04601</t>
  </si>
  <si>
    <t>14</t>
  </si>
  <si>
    <t>Yedukondalu</t>
  </si>
  <si>
    <t>Cuba</t>
  </si>
  <si>
    <t>Panditula</t>
  </si>
  <si>
    <t>Need to check</t>
  </si>
  <si>
    <t>Support</t>
  </si>
  <si>
    <t>15</t>
  </si>
  <si>
    <t>Hungary</t>
  </si>
  <si>
    <t>STAFF SUMMARY</t>
  </si>
  <si>
    <t>16</t>
  </si>
  <si>
    <t>South Korea</t>
  </si>
  <si>
    <t>SQ01854</t>
  </si>
  <si>
    <t>Jessica</t>
  </si>
  <si>
    <t>Callcott</t>
  </si>
  <si>
    <t>17</t>
  </si>
  <si>
    <t>Headcount</t>
  </si>
  <si>
    <t>Poland</t>
  </si>
  <si>
    <t>Marketing</t>
  </si>
  <si>
    <t>Total Salary</t>
  </si>
  <si>
    <t>Avg. Salary</t>
  </si>
  <si>
    <t>Permanent Headcount</t>
  </si>
  <si>
    <t>18</t>
  </si>
  <si>
    <t>Czech Republic</t>
  </si>
  <si>
    <t>Accounting</t>
  </si>
  <si>
    <t>SQ00612</t>
  </si>
  <si>
    <t>Leena</t>
  </si>
  <si>
    <t>Bruckshaw</t>
  </si>
  <si>
    <t>19</t>
  </si>
  <si>
    <t>Kenya</t>
  </si>
  <si>
    <t>Research and Development</t>
  </si>
  <si>
    <t>20</t>
  </si>
  <si>
    <t>Norway</t>
  </si>
  <si>
    <t>PR00419</t>
  </si>
  <si>
    <t>Billi</t>
  </si>
  <si>
    <t>Fellgate</t>
  </si>
  <si>
    <t>21</t>
  </si>
  <si>
    <t>Jamaica</t>
  </si>
  <si>
    <t>22</t>
  </si>
  <si>
    <t>Spain</t>
  </si>
  <si>
    <t>VT00578</t>
  </si>
  <si>
    <t>23</t>
  </si>
  <si>
    <t>Magnum</t>
  </si>
  <si>
    <t>Locksley</t>
  </si>
  <si>
    <t>Sweden</t>
  </si>
  <si>
    <t>Under 50k</t>
  </si>
  <si>
    <t>24</t>
  </si>
  <si>
    <t>Switzerland</t>
  </si>
  <si>
    <t>TN01281</t>
  </si>
  <si>
    <t>Cletus</t>
  </si>
  <si>
    <t>McGarahan</t>
  </si>
  <si>
    <t>25</t>
  </si>
  <si>
    <t>Denmark</t>
  </si>
  <si>
    <t>26</t>
  </si>
  <si>
    <t>Croatia</t>
  </si>
  <si>
    <t>27</t>
  </si>
  <si>
    <t>PR04473</t>
  </si>
  <si>
    <t>Iran</t>
  </si>
  <si>
    <t>Wyn</t>
  </si>
  <si>
    <t>Treadger</t>
  </si>
  <si>
    <t>28</t>
  </si>
  <si>
    <t>Serbia</t>
  </si>
  <si>
    <t>Columbus, USA</t>
  </si>
  <si>
    <t>29</t>
  </si>
  <si>
    <t>Belgium</t>
  </si>
  <si>
    <t>VT02417</t>
  </si>
  <si>
    <t>Evangelina</t>
  </si>
  <si>
    <t>Lergan</t>
  </si>
  <si>
    <t>30</t>
  </si>
  <si>
    <t>Bulgaria</t>
  </si>
  <si>
    <t>Human Resources</t>
  </si>
  <si>
    <t>Temporary</t>
  </si>
  <si>
    <t>31</t>
  </si>
  <si>
    <t>Auckland, New Zealand</t>
  </si>
  <si>
    <t>Slovenia</t>
  </si>
  <si>
    <t>SQ00691</t>
  </si>
  <si>
    <t>Verla</t>
  </si>
  <si>
    <t>Timmis</t>
  </si>
  <si>
    <t>32</t>
  </si>
  <si>
    <t>Uzbekistan</t>
  </si>
  <si>
    <t>33</t>
  </si>
  <si>
    <t>Georgia</t>
  </si>
  <si>
    <t>TN00214</t>
  </si>
  <si>
    <t>Devsena</t>
  </si>
  <si>
    <t>Veluvalapalli</t>
  </si>
  <si>
    <t>34</t>
  </si>
  <si>
    <t>Chinese Taipei</t>
  </si>
  <si>
    <t>Chennai, India</t>
  </si>
  <si>
    <t>35</t>
  </si>
  <si>
    <t>Turkey</t>
  </si>
  <si>
    <t>VT02539</t>
  </si>
  <si>
    <t>Devinne</t>
  </si>
  <si>
    <t>Tuny</t>
  </si>
  <si>
    <t>36</t>
  </si>
  <si>
    <t>Greece</t>
  </si>
  <si>
    <t>SQ04598</t>
  </si>
  <si>
    <t>Pearla</t>
  </si>
  <si>
    <t>Uganda</t>
  </si>
  <si>
    <t>Beteriss</t>
  </si>
  <si>
    <t>38</t>
  </si>
  <si>
    <t>Ecuador</t>
  </si>
  <si>
    <t>TN00464</t>
  </si>
  <si>
    <t>Gopal</t>
  </si>
  <si>
    <t>Venkata</t>
  </si>
  <si>
    <t>39</t>
  </si>
  <si>
    <t>Ireland</t>
  </si>
  <si>
    <t>Israel</t>
  </si>
  <si>
    <t>PR00893</t>
  </si>
  <si>
    <t>Vasavi</t>
  </si>
  <si>
    <t>41</t>
  </si>
  <si>
    <t>Qatar</t>
  </si>
  <si>
    <t>Veeravasarapu</t>
  </si>
  <si>
    <t>42</t>
  </si>
  <si>
    <t>Bahamas</t>
  </si>
  <si>
    <t>Kosovo</t>
  </si>
  <si>
    <t>PR00882</t>
  </si>
  <si>
    <t>Jill</t>
  </si>
  <si>
    <t>Shipsey</t>
  </si>
  <si>
    <t>44</t>
  </si>
  <si>
    <t>Ukraine</t>
  </si>
  <si>
    <t>45</t>
  </si>
  <si>
    <t>Belarus</t>
  </si>
  <si>
    <t>PR03445</t>
  </si>
  <si>
    <t>46</t>
  </si>
  <si>
    <t>Myrle</t>
  </si>
  <si>
    <t>Romania</t>
  </si>
  <si>
    <t>Prandoni</t>
  </si>
  <si>
    <t>Sales</t>
  </si>
  <si>
    <t>Venezuela</t>
  </si>
  <si>
    <t>48</t>
  </si>
  <si>
    <t>TN03416</t>
  </si>
  <si>
    <t>India</t>
  </si>
  <si>
    <t>Seward</t>
  </si>
  <si>
    <t>Kubera</t>
  </si>
  <si>
    <t>49</t>
  </si>
  <si>
    <t>Hong Kong</t>
  </si>
  <si>
    <t>TN00890</t>
  </si>
  <si>
    <t>50</t>
  </si>
  <si>
    <t>Mayur</t>
  </si>
  <si>
    <t>Philippines</t>
  </si>
  <si>
    <t>Kousika</t>
  </si>
  <si>
    <t>Slovakia</t>
  </si>
  <si>
    <t>VT04137</t>
  </si>
  <si>
    <t>52</t>
  </si>
  <si>
    <t>Marissa</t>
  </si>
  <si>
    <t>South Africa</t>
  </si>
  <si>
    <t>Infante</t>
  </si>
  <si>
    <t>53</t>
  </si>
  <si>
    <t>Austria</t>
  </si>
  <si>
    <t>54</t>
  </si>
  <si>
    <t>Egypt</t>
  </si>
  <si>
    <t>PR02603</t>
  </si>
  <si>
    <t>Dinanath</t>
  </si>
  <si>
    <t>Simhambhatla</t>
  </si>
  <si>
    <t>55</t>
  </si>
  <si>
    <t>Indonesia</t>
  </si>
  <si>
    <t>56</t>
  </si>
  <si>
    <t>Ethiopia</t>
  </si>
  <si>
    <t>PR03158</t>
  </si>
  <si>
    <t>Danica</t>
  </si>
  <si>
    <t>Nayshe</t>
  </si>
  <si>
    <t>Portugal</t>
  </si>
  <si>
    <t>58</t>
  </si>
  <si>
    <t>Tunisia</t>
  </si>
  <si>
    <t>59</t>
  </si>
  <si>
    <t>Estonia</t>
  </si>
  <si>
    <t>PR02288</t>
  </si>
  <si>
    <t>Althea</t>
  </si>
  <si>
    <t>Bronger</t>
  </si>
  <si>
    <t>Product Management</t>
  </si>
  <si>
    <t>Fiji</t>
  </si>
  <si>
    <t>Latvia</t>
  </si>
  <si>
    <t>VT03849</t>
  </si>
  <si>
    <t>Leonidas</t>
  </si>
  <si>
    <t>Cavaney</t>
  </si>
  <si>
    <t>Thailand</t>
  </si>
  <si>
    <t>SQ01395</t>
  </si>
  <si>
    <t>63</t>
  </si>
  <si>
    <t>Dennison</t>
  </si>
  <si>
    <t>Bermuda</t>
  </si>
  <si>
    <t>Crosswaite</t>
  </si>
  <si>
    <t>Legal</t>
  </si>
  <si>
    <t>Morocco</t>
  </si>
  <si>
    <t>SQ02559</t>
  </si>
  <si>
    <t>Aldrich</t>
  </si>
  <si>
    <t>Glenny</t>
  </si>
  <si>
    <t>Puerto Rico</t>
  </si>
  <si>
    <t>VT04627</t>
  </si>
  <si>
    <t>Yvette</t>
  </si>
  <si>
    <t>66</t>
  </si>
  <si>
    <t>Bett</t>
  </si>
  <si>
    <t>Colombia</t>
  </si>
  <si>
    <t>67</t>
  </si>
  <si>
    <t>Azerbaijan</t>
  </si>
  <si>
    <t>VT03537</t>
  </si>
  <si>
    <t>Renaldo</t>
  </si>
  <si>
    <t>Thomassin</t>
  </si>
  <si>
    <t>68</t>
  </si>
  <si>
    <t>Dominican Republic</t>
  </si>
  <si>
    <t>PR01662</t>
  </si>
  <si>
    <t>69</t>
  </si>
  <si>
    <t>Genevra</t>
  </si>
  <si>
    <t>Armenia</t>
  </si>
  <si>
    <t>Friday</t>
  </si>
  <si>
    <t>70</t>
  </si>
  <si>
    <t>Kyrgyzstan</t>
  </si>
  <si>
    <t>VT02313</t>
  </si>
  <si>
    <t>Thekla</t>
  </si>
  <si>
    <t>71</t>
  </si>
  <si>
    <t>Lynnett</t>
  </si>
  <si>
    <t>Mongolia</t>
  </si>
  <si>
    <t>72</t>
  </si>
  <si>
    <t>Argentina</t>
  </si>
  <si>
    <t>SQ01620</t>
  </si>
  <si>
    <t>Westbrook</t>
  </si>
  <si>
    <t>San Marino</t>
  </si>
  <si>
    <t>Brandino</t>
  </si>
  <si>
    <t>74</t>
  </si>
  <si>
    <t>Jordan</t>
  </si>
  <si>
    <t>VT04681</t>
  </si>
  <si>
    <t>Nickolai</t>
  </si>
  <si>
    <t>Malaysia</t>
  </si>
  <si>
    <t>Artin</t>
  </si>
  <si>
    <t>Nigeria</t>
  </si>
  <si>
    <t>77</t>
  </si>
  <si>
    <t>TN04246</t>
  </si>
  <si>
    <t>Bahrain</t>
  </si>
  <si>
    <t>Shaylyn</t>
  </si>
  <si>
    <t>Ransbury</t>
  </si>
  <si>
    <t>Lithuania</t>
  </si>
  <si>
    <t>Namibia</t>
  </si>
  <si>
    <t>North Macedonia</t>
  </si>
  <si>
    <t>TN02570</t>
  </si>
  <si>
    <t>Grady</t>
  </si>
  <si>
    <t>Saudi Arabia</t>
  </si>
  <si>
    <t>Rochelle</t>
  </si>
  <si>
    <t>Turkmenistan</t>
  </si>
  <si>
    <t>83</t>
  </si>
  <si>
    <t>VT02801</t>
  </si>
  <si>
    <t>Kazakhstan</t>
  </si>
  <si>
    <t>Shellysheldon</t>
  </si>
  <si>
    <t>Mahady</t>
  </si>
  <si>
    <t>84</t>
  </si>
  <si>
    <t>Mexico</t>
  </si>
  <si>
    <t>85</t>
  </si>
  <si>
    <t>Finland</t>
  </si>
  <si>
    <t>SQ01177</t>
  </si>
  <si>
    <t>Nazeer</t>
  </si>
  <si>
    <t>Basha</t>
  </si>
  <si>
    <t>86</t>
  </si>
  <si>
    <t>Botswana</t>
  </si>
  <si>
    <t>Burkina Faso</t>
  </si>
  <si>
    <t>VT01740</t>
  </si>
  <si>
    <t>Ghana</t>
  </si>
  <si>
    <t>Ginger</t>
  </si>
  <si>
    <t>Myott</t>
  </si>
  <si>
    <t>Grenada</t>
  </si>
  <si>
    <t>Ivory Coast</t>
  </si>
  <si>
    <t>TN01876</t>
  </si>
  <si>
    <t>Aileen</t>
  </si>
  <si>
    <t>McCritchie</t>
  </si>
  <si>
    <t>Kuwait</t>
  </si>
  <si>
    <t>Moldova</t>
  </si>
  <si>
    <t>Syria</t>
  </si>
  <si>
    <t>VT03988</t>
  </si>
  <si>
    <t>Venkat</t>
  </si>
  <si>
    <t>Kodi</t>
  </si>
  <si>
    <t>TN00227</t>
  </si>
  <si>
    <t>Raghuveer</t>
  </si>
  <si>
    <t>Yettugunna</t>
  </si>
  <si>
    <t>VT01092</t>
  </si>
  <si>
    <t>Tabby</t>
  </si>
  <si>
    <t>Astall</t>
  </si>
  <si>
    <t>TN03169</t>
  </si>
  <si>
    <t>Doe</t>
  </si>
  <si>
    <t>Clubley</t>
  </si>
  <si>
    <t>SQ01402</t>
  </si>
  <si>
    <t>Sahaj</t>
  </si>
  <si>
    <t>Jonnalagadda</t>
  </si>
  <si>
    <t>SQ00360</t>
  </si>
  <si>
    <t>Orlando</t>
  </si>
  <si>
    <t>Gorstidge</t>
  </si>
  <si>
    <t>PR02208</t>
  </si>
  <si>
    <t>Gowri</t>
  </si>
  <si>
    <t>Sankar</t>
  </si>
  <si>
    <t>SQ01637</t>
  </si>
  <si>
    <t>Joaquin</t>
  </si>
  <si>
    <t>McVitty</t>
  </si>
  <si>
    <t>TN03210</t>
  </si>
  <si>
    <t>Suman</t>
  </si>
  <si>
    <t>Katte</t>
  </si>
  <si>
    <t>PR03844</t>
  </si>
  <si>
    <t>Brose</t>
  </si>
  <si>
    <t>MacCorkell</t>
  </si>
  <si>
    <t>EMPLOYEES WITH SALARY &gt; 100K</t>
  </si>
  <si>
    <t>VT04093</t>
  </si>
  <si>
    <t>Prasanna</t>
  </si>
  <si>
    <t>Lakshmi</t>
  </si>
  <si>
    <t>SQ02246</t>
  </si>
  <si>
    <t>Matias</t>
  </si>
  <si>
    <t>Cormack</t>
  </si>
  <si>
    <t>TN03032</t>
  </si>
  <si>
    <t>Jaipal</t>
  </si>
  <si>
    <t>Potanapudi</t>
  </si>
  <si>
    <t>SQ00914</t>
  </si>
  <si>
    <t>Duran</t>
  </si>
  <si>
    <t>Appala</t>
  </si>
  <si>
    <t>SQ02525</t>
  </si>
  <si>
    <t>Mickie</t>
  </si>
  <si>
    <t>Dagwell</t>
  </si>
  <si>
    <t>PR02782</t>
  </si>
  <si>
    <t>Isaak</t>
  </si>
  <si>
    <t>Rawne</t>
  </si>
  <si>
    <t>TN03331</t>
  </si>
  <si>
    <t>Crawford</t>
  </si>
  <si>
    <t>Scad</t>
  </si>
  <si>
    <t>VT01249</t>
  </si>
  <si>
    <t>Brendan</t>
  </si>
  <si>
    <t>Edgeller</t>
  </si>
  <si>
    <t>PR00576</t>
  </si>
  <si>
    <t>Lalitchandra</t>
  </si>
  <si>
    <t>Vadali</t>
  </si>
  <si>
    <t>VT02260</t>
  </si>
  <si>
    <t>Rhiamon</t>
  </si>
  <si>
    <t>Mollison</t>
  </si>
  <si>
    <t>TN02883</t>
  </si>
  <si>
    <t>John</t>
  </si>
  <si>
    <t>Joseph</t>
  </si>
  <si>
    <t>SQ03024</t>
  </si>
  <si>
    <t>Inge</t>
  </si>
  <si>
    <t>Creer</t>
  </si>
  <si>
    <t>TN04428</t>
  </si>
  <si>
    <t>Tadio</t>
  </si>
  <si>
    <t>Audritt</t>
  </si>
  <si>
    <t>SQ03350</t>
  </si>
  <si>
    <t>Felice</t>
  </si>
  <si>
    <t>McMurty</t>
  </si>
  <si>
    <t>VT03421</t>
  </si>
  <si>
    <t>Alic</t>
  </si>
  <si>
    <t>Bagg</t>
  </si>
  <si>
    <t>PR01346</t>
  </si>
  <si>
    <t>Adolph</t>
  </si>
  <si>
    <t>McNalley</t>
  </si>
  <si>
    <t>VT02118</t>
  </si>
  <si>
    <t>Oorjit</t>
  </si>
  <si>
    <t>Nandanavanam</t>
  </si>
  <si>
    <t>TN02496</t>
  </si>
  <si>
    <t>Ponnan</t>
  </si>
  <si>
    <t>Delhi</t>
  </si>
  <si>
    <t>VT02491</t>
  </si>
  <si>
    <t>Alexis</t>
  </si>
  <si>
    <t>Gotfrey</t>
  </si>
  <si>
    <t>PR03980</t>
  </si>
  <si>
    <t>Kath</t>
  </si>
  <si>
    <t>Bletsoe</t>
  </si>
  <si>
    <t>VT03307</t>
  </si>
  <si>
    <t>Tallie</t>
  </si>
  <si>
    <t>Chaikovski</t>
  </si>
  <si>
    <t>TN04058</t>
  </si>
  <si>
    <t>Subbarao</t>
  </si>
  <si>
    <t>Malladi</t>
  </si>
  <si>
    <t>VT03993</t>
  </si>
  <si>
    <t>Dulce</t>
  </si>
  <si>
    <t>Colbeck</t>
  </si>
  <si>
    <t>VT02663</t>
  </si>
  <si>
    <t>Sravanthi</t>
  </si>
  <si>
    <t>Chalaki</t>
  </si>
  <si>
    <t>PR03034</t>
  </si>
  <si>
    <t>Sreenivasa</t>
  </si>
  <si>
    <t>Naik</t>
  </si>
  <si>
    <t>PR01159</t>
  </si>
  <si>
    <t>Mollie</t>
  </si>
  <si>
    <t>Hanway</t>
  </si>
  <si>
    <t>SQ03476</t>
  </si>
  <si>
    <t>Ramalingam</t>
  </si>
  <si>
    <t>Kothapeta</t>
  </si>
  <si>
    <t>PR04380</t>
  </si>
  <si>
    <t>Van</t>
  </si>
  <si>
    <t>Tuxwell</t>
  </si>
  <si>
    <t>EMPLOYEES WITH SALARY &gt; Any Dynamic Value</t>
  </si>
  <si>
    <t>TN00182</t>
  </si>
  <si>
    <t>Camilla</t>
  </si>
  <si>
    <t>Castle</t>
  </si>
  <si>
    <t>Input:</t>
  </si>
  <si>
    <t>VT01523</t>
  </si>
  <si>
    <t>Charmane</t>
  </si>
  <si>
    <t>Heistermann</t>
  </si>
  <si>
    <t>PR00916</t>
  </si>
  <si>
    <t>Inger</t>
  </si>
  <si>
    <t>Chapelhow</t>
  </si>
  <si>
    <t>PR01211</t>
  </si>
  <si>
    <t>Enoch</t>
  </si>
  <si>
    <t>Dowrey</t>
  </si>
  <si>
    <t>VT01684</t>
  </si>
  <si>
    <t>Audry</t>
  </si>
  <si>
    <t>Yu</t>
  </si>
  <si>
    <t>TN04740</t>
  </si>
  <si>
    <t>Tristam</t>
  </si>
  <si>
    <t>Cuming</t>
  </si>
  <si>
    <t>TN03575</t>
  </si>
  <si>
    <t>Janina</t>
  </si>
  <si>
    <t>Wolverson</t>
  </si>
  <si>
    <t>VT04984</t>
  </si>
  <si>
    <t>Dell</t>
  </si>
  <si>
    <t>Molloy</t>
  </si>
  <si>
    <t>PR00095</t>
  </si>
  <si>
    <t>Devrat</t>
  </si>
  <si>
    <t>Damarsingh</t>
  </si>
  <si>
    <t>SQ03546</t>
  </si>
  <si>
    <t>Amlankusum</t>
  </si>
  <si>
    <t>Rajabhushan</t>
  </si>
  <si>
    <t>VT02374</t>
  </si>
  <si>
    <t>Delphine</t>
  </si>
  <si>
    <t>Jewis</t>
  </si>
  <si>
    <t>SQ00450</t>
  </si>
  <si>
    <t>Louise</t>
  </si>
  <si>
    <t>Lamming</t>
  </si>
  <si>
    <t>PR03804</t>
  </si>
  <si>
    <t>FEMALE EMPLOYEES WITH SALARY &gt; Any Dynamic Value Joined in 2020 or After</t>
  </si>
  <si>
    <t>Pratigya</t>
  </si>
  <si>
    <t>Rema</t>
  </si>
  <si>
    <t>SQ04488</t>
  </si>
  <si>
    <t>Ramnath</t>
  </si>
  <si>
    <t>Ravuri</t>
  </si>
  <si>
    <t>TN00735</t>
  </si>
  <si>
    <t>Caresa</t>
  </si>
  <si>
    <t>Christer</t>
  </si>
  <si>
    <t>VT01893</t>
  </si>
  <si>
    <t>Lindy</t>
  </si>
  <si>
    <t>Guillet</t>
  </si>
  <si>
    <t>SQ02223</t>
  </si>
  <si>
    <t>Pippy</t>
  </si>
  <si>
    <t>Shepperd</t>
  </si>
  <si>
    <t>PR02010</t>
  </si>
  <si>
    <t>Prerana</t>
  </si>
  <si>
    <t>Nishita</t>
  </si>
  <si>
    <t>SALARY Details</t>
  </si>
  <si>
    <t>SQ00498</t>
  </si>
  <si>
    <t>Amery</t>
  </si>
  <si>
    <t>Ofer</t>
  </si>
  <si>
    <t xml:space="preserve">"TAKE(SORT(Staff[Salary], 1, FALSE), 5)" This is available in M365 and above. 
For Google Sheet we will use SORTN(Staff[Salary], 5, 0, 1, FALSE)
</t>
  </si>
  <si>
    <t>Column 1</t>
  </si>
  <si>
    <t>All Employees</t>
  </si>
  <si>
    <t>PR02113</t>
  </si>
  <si>
    <t>Beverie</t>
  </si>
  <si>
    <t>Moffet</t>
  </si>
  <si>
    <t>MAX Salary</t>
  </si>
  <si>
    <t>TN00727</t>
  </si>
  <si>
    <t>Dulsea</t>
  </si>
  <si>
    <t>Folkes</t>
  </si>
  <si>
    <t>SQ01697</t>
  </si>
  <si>
    <t>Makshi</t>
  </si>
  <si>
    <t>Vinutha</t>
  </si>
  <si>
    <t>SQ01519</t>
  </si>
  <si>
    <t>Caron</t>
  </si>
  <si>
    <t>Kolakovic</t>
  </si>
  <si>
    <t>MIN Salary</t>
  </si>
  <si>
    <t>VT03500</t>
  </si>
  <si>
    <t>Shiuli</t>
  </si>
  <si>
    <t>Sapna</t>
  </si>
  <si>
    <t>Top 5 Salary (Static)</t>
  </si>
  <si>
    <t>TN01210</t>
  </si>
  <si>
    <t>Alyosha</t>
  </si>
  <si>
    <t>Riquet</t>
  </si>
  <si>
    <t>SQ03321</t>
  </si>
  <si>
    <t>Gradey</t>
  </si>
  <si>
    <t>Litton</t>
  </si>
  <si>
    <t>Vasu</t>
  </si>
  <si>
    <t>Nandin</t>
  </si>
  <si>
    <t>SQ00841</t>
  </si>
  <si>
    <t>Bhuvan</t>
  </si>
  <si>
    <t>Pals</t>
  </si>
  <si>
    <t>SQ04603</t>
  </si>
  <si>
    <t>Natalee</t>
  </si>
  <si>
    <t>Craiker</t>
  </si>
  <si>
    <t>TN01028</t>
  </si>
  <si>
    <t>Alicea</t>
  </si>
  <si>
    <t>Pudsall</t>
  </si>
  <si>
    <t>VT04028</t>
  </si>
  <si>
    <t>Michale</t>
  </si>
  <si>
    <t>Rolf</t>
  </si>
  <si>
    <t>TN03068</t>
  </si>
  <si>
    <t>Gumwant</t>
  </si>
  <si>
    <t>Veera</t>
  </si>
  <si>
    <t>VT03701</t>
  </si>
  <si>
    <t>Narois</t>
  </si>
  <si>
    <t>Motiwala</t>
  </si>
  <si>
    <t>Top 5 Salary (Dynamic)</t>
  </si>
  <si>
    <t>TN04101</t>
  </si>
  <si>
    <t>Marline</t>
  </si>
  <si>
    <t>Wahncke</t>
  </si>
  <si>
    <t>TN01632</t>
  </si>
  <si>
    <t>Katya</t>
  </si>
  <si>
    <t>Hundy</t>
  </si>
  <si>
    <t>PR01956</t>
  </si>
  <si>
    <t>Jamesy</t>
  </si>
  <si>
    <t>O'Ferris</t>
  </si>
  <si>
    <t>PR02140</t>
  </si>
  <si>
    <t>Anjushri</t>
  </si>
  <si>
    <t>Chandiramani</t>
  </si>
  <si>
    <t>SQ03626</t>
  </si>
  <si>
    <t>Krishnakanta</t>
  </si>
  <si>
    <t>All Departments</t>
  </si>
  <si>
    <t>Vellanki</t>
  </si>
  <si>
    <t>Departments</t>
  </si>
  <si>
    <t>Count:</t>
  </si>
  <si>
    <t>VT01610</t>
  </si>
  <si>
    <t>Dhruv</t>
  </si>
  <si>
    <t>Manjunath</t>
  </si>
  <si>
    <t>All Departments in single cell comma seperated</t>
  </si>
  <si>
    <t>TN01340</t>
  </si>
  <si>
    <t>Granny</t>
  </si>
  <si>
    <t>Spencelayh</t>
  </si>
  <si>
    <t>Excel Lookups</t>
  </si>
  <si>
    <t>TN00698</t>
  </si>
  <si>
    <t>Barbara-anne</t>
  </si>
  <si>
    <t>Kenchington</t>
  </si>
  <si>
    <t xml:space="preserve">Emp ID </t>
  </si>
  <si>
    <t>All Employees with Certain Salary</t>
  </si>
  <si>
    <t>VLOOKUP</t>
  </si>
  <si>
    <t>Salary:</t>
  </si>
  <si>
    <t>SQ00960</t>
  </si>
  <si>
    <t>Calvin</t>
  </si>
  <si>
    <t>O'Carroll</t>
  </si>
  <si>
    <t>Filter</t>
  </si>
  <si>
    <t>Xlookup</t>
  </si>
  <si>
    <t>SQ01998</t>
  </si>
  <si>
    <t>Vanmala</t>
  </si>
  <si>
    <t>Shriharsha</t>
  </si>
  <si>
    <t>PR04446</t>
  </si>
  <si>
    <t>Sameer</t>
  </si>
  <si>
    <t>Shashank</t>
  </si>
  <si>
    <t>SQ01283</t>
  </si>
  <si>
    <t>Barr</t>
  </si>
  <si>
    <t>Faughny</t>
  </si>
  <si>
    <t>SQ01026</t>
  </si>
  <si>
    <t>Anumati</t>
  </si>
  <si>
    <t>Shyamari</t>
  </si>
  <si>
    <t>Index-Match</t>
  </si>
  <si>
    <t>TN01912</t>
  </si>
  <si>
    <t>Fred</t>
  </si>
  <si>
    <t>Dudeney</t>
  </si>
  <si>
    <t>Emp Id</t>
  </si>
  <si>
    <t>VT02319</t>
  </si>
  <si>
    <t>Tarala</t>
  </si>
  <si>
    <t>Vishaal</t>
  </si>
  <si>
    <t>SQ04960</t>
  </si>
  <si>
    <t>XLOOKUP</t>
  </si>
  <si>
    <t>Shubhra</t>
  </si>
  <si>
    <t>Potla</t>
  </si>
  <si>
    <t>SQ01829</t>
  </si>
  <si>
    <t>Mabel</t>
  </si>
  <si>
    <t>Orrow</t>
  </si>
  <si>
    <t>SQ00022</t>
  </si>
  <si>
    <t>Carlin</t>
  </si>
  <si>
    <t>All Details for the match</t>
  </si>
  <si>
    <t>Demke</t>
  </si>
  <si>
    <t>Hemavati</t>
  </si>
  <si>
    <t>Muthiah</t>
  </si>
  <si>
    <t>Complex Query</t>
  </si>
  <si>
    <t>TN02798</t>
  </si>
  <si>
    <t>Krittika</t>
  </si>
  <si>
    <t>Gaekwad</t>
  </si>
  <si>
    <t>Highest Salary Person:</t>
  </si>
  <si>
    <t>VT02532</t>
  </si>
  <si>
    <t>Adey</t>
  </si>
  <si>
    <t>Ryal</t>
  </si>
  <si>
    <t>All People with Highest Salary:</t>
  </si>
  <si>
    <t>PR02321</t>
  </si>
  <si>
    <t>Evanne</t>
  </si>
  <si>
    <t>Sheryn</t>
  </si>
  <si>
    <t>All Emp joined on March:</t>
  </si>
  <si>
    <t>SQ03116</t>
  </si>
  <si>
    <t>Syd</t>
  </si>
  <si>
    <t>Fearn</t>
  </si>
  <si>
    <t>SQ02638</t>
  </si>
  <si>
    <t>Cara</t>
  </si>
  <si>
    <t>Havers</t>
  </si>
  <si>
    <t>VT03704</t>
  </si>
  <si>
    <t>Egor</t>
  </si>
  <si>
    <t>Minto</t>
  </si>
  <si>
    <t>VT04552</t>
  </si>
  <si>
    <t>Theresita</t>
  </si>
  <si>
    <t>Female Emp joined on Monday:</t>
  </si>
  <si>
    <t>Chasmer</t>
  </si>
  <si>
    <t>SQ04665</t>
  </si>
  <si>
    <t>Collin</t>
  </si>
  <si>
    <t>Jagson</t>
  </si>
  <si>
    <t>VT00336</t>
  </si>
  <si>
    <t>Shevantilal</t>
  </si>
  <si>
    <t>Muppala</t>
  </si>
  <si>
    <t>TN01256</t>
  </si>
  <si>
    <t>Shattesh</t>
  </si>
  <si>
    <t>Utpat</t>
  </si>
  <si>
    <t>PR03271</t>
  </si>
  <si>
    <t>Stan</t>
  </si>
  <si>
    <t>Tolliday</t>
  </si>
  <si>
    <t>VT01101</t>
  </si>
  <si>
    <t>Adela</t>
  </si>
  <si>
    <t>Dowsett</t>
  </si>
  <si>
    <t>TN04660</t>
  </si>
  <si>
    <t>Thedrick</t>
  </si>
  <si>
    <t>Bothwell</t>
  </si>
  <si>
    <t>VT00596</t>
  </si>
  <si>
    <t>Letisha</t>
  </si>
  <si>
    <t>Carrett</t>
  </si>
  <si>
    <t>VT03552</t>
  </si>
  <si>
    <t>Kamalakshi</t>
  </si>
  <si>
    <t>Mukundan</t>
  </si>
  <si>
    <t>TN00083</t>
  </si>
  <si>
    <t>Chandana</t>
  </si>
  <si>
    <t>Sannidhi</t>
  </si>
  <si>
    <t>SQ02643</t>
  </si>
  <si>
    <t>Indu</t>
  </si>
  <si>
    <t>Varada</t>
  </si>
  <si>
    <t>Karuna</t>
  </si>
  <si>
    <t>Pashupathy</t>
  </si>
  <si>
    <t>TN02674</t>
  </si>
  <si>
    <t>Antonetta</t>
  </si>
  <si>
    <t>Coggeshall</t>
  </si>
  <si>
    <t>TN02727</t>
  </si>
  <si>
    <t>Wald</t>
  </si>
  <si>
    <t>Bountiff</t>
  </si>
  <si>
    <t>VT01323</t>
  </si>
  <si>
    <t>Mardav</t>
  </si>
  <si>
    <t>Ramaswami</t>
  </si>
  <si>
    <t>PR03886</t>
  </si>
  <si>
    <t>Edd</t>
  </si>
  <si>
    <t>MacKnockiter</t>
  </si>
  <si>
    <t>PR00746</t>
  </si>
  <si>
    <t>Hogan</t>
  </si>
  <si>
    <t>Iles</t>
  </si>
  <si>
    <t>Department Report</t>
  </si>
  <si>
    <t>SQ03387</t>
  </si>
  <si>
    <t>Robinia</t>
  </si>
  <si>
    <t>Scholling</t>
  </si>
  <si>
    <t>All Department</t>
  </si>
  <si>
    <t>SQ00105</t>
  </si>
  <si>
    <t>Sarayu</t>
  </si>
  <si>
    <t>Ragunathan</t>
  </si>
  <si>
    <t>SQ02424</t>
  </si>
  <si>
    <t>Kevalkumar</t>
  </si>
  <si>
    <t>Solanki</t>
  </si>
  <si>
    <t>VT01703</t>
  </si>
  <si>
    <t>Upendra</t>
  </si>
  <si>
    <t>Swati</t>
  </si>
  <si>
    <t>SQ02703</t>
  </si>
  <si>
    <t>Avg Salary</t>
  </si>
  <si>
    <t>Deepit</t>
  </si>
  <si>
    <t>% diff from Overall Avg. Salary</t>
  </si>
  <si>
    <t>Highest Salary</t>
  </si>
  <si>
    <t>Median Salary</t>
  </si>
  <si>
    <t>Ranjana</t>
  </si>
  <si>
    <t>Female Ratio</t>
  </si>
  <si>
    <t>VT04373</t>
  </si>
  <si>
    <t>Edi</t>
  </si>
  <si>
    <t>Hofton</t>
  </si>
  <si>
    <t>SQ03733</t>
  </si>
  <si>
    <t>Revkah</t>
  </si>
  <si>
    <t>Antonacci</t>
  </si>
  <si>
    <t>VT04467</t>
  </si>
  <si>
    <t>Amal</t>
  </si>
  <si>
    <t>Nimesh</t>
  </si>
  <si>
    <t>Kunja</t>
  </si>
  <si>
    <t>Prashanta</t>
  </si>
  <si>
    <t>PR02016</t>
  </si>
  <si>
    <t>Iris</t>
  </si>
  <si>
    <t>Wagg</t>
  </si>
  <si>
    <t>VT04415</t>
  </si>
  <si>
    <t>Malory</t>
  </si>
  <si>
    <t>Biles</t>
  </si>
  <si>
    <t>TN04067</t>
  </si>
  <si>
    <t>Lea</t>
  </si>
  <si>
    <t>Chaplin</t>
  </si>
  <si>
    <t>TN04175</t>
  </si>
  <si>
    <t>Hinda</t>
  </si>
  <si>
    <t>Label</t>
  </si>
  <si>
    <t>VT00687</t>
  </si>
  <si>
    <t>Godavari</t>
  </si>
  <si>
    <t>Veena</t>
  </si>
  <si>
    <t>PR01269</t>
  </si>
  <si>
    <t>Eleonore</t>
  </si>
  <si>
    <t>Airdrie</t>
  </si>
  <si>
    <t>TN00579</t>
  </si>
  <si>
    <t>Rafaelita</t>
  </si>
  <si>
    <t>Blaksland</t>
  </si>
  <si>
    <t>TN03097</t>
  </si>
  <si>
    <t>Bendite</t>
  </si>
  <si>
    <t>Bloan</t>
  </si>
  <si>
    <t>SQ02174</t>
  </si>
  <si>
    <t>Sidoney</t>
  </si>
  <si>
    <t>Yitzhok</t>
  </si>
  <si>
    <t>PR02957</t>
  </si>
  <si>
    <t>Vaughn</t>
  </si>
  <si>
    <t>Carvill</t>
  </si>
  <si>
    <t>TN01601</t>
  </si>
  <si>
    <t>Melva</t>
  </si>
  <si>
    <t>Jickells</t>
  </si>
  <si>
    <t>SQ01730</t>
  </si>
  <si>
    <t>Austine</t>
  </si>
  <si>
    <t>Littlewood</t>
  </si>
  <si>
    <t>TN03355</t>
  </si>
  <si>
    <t>Ruby</t>
  </si>
  <si>
    <t>Cracie</t>
  </si>
  <si>
    <t>VT01246</t>
  </si>
  <si>
    <t>Zach</t>
  </si>
  <si>
    <t>Polon</t>
  </si>
  <si>
    <t>PR02275</t>
  </si>
  <si>
    <t>TN04166</t>
  </si>
  <si>
    <t>Dowdle</t>
  </si>
  <si>
    <t>SQ00070</t>
  </si>
  <si>
    <t>Larissa</t>
  </si>
  <si>
    <t>Ingledow</t>
  </si>
  <si>
    <t>TN01701</t>
  </si>
  <si>
    <t>Yves</t>
  </si>
  <si>
    <t>Pawlik</t>
  </si>
  <si>
    <t>VT03298</t>
  </si>
  <si>
    <t>Nonah</t>
  </si>
  <si>
    <t>Bissell</t>
  </si>
  <si>
    <t>TN04892</t>
  </si>
  <si>
    <t>Luca</t>
  </si>
  <si>
    <t>Wolstenholme</t>
  </si>
  <si>
    <t>PR01055</t>
  </si>
  <si>
    <t>Devasree</t>
  </si>
  <si>
    <t>Fullara</t>
  </si>
  <si>
    <t>SQ04437</t>
  </si>
  <si>
    <t>Hephzibah</t>
  </si>
  <si>
    <t>Summerell</t>
  </si>
  <si>
    <t>PR00770</t>
  </si>
  <si>
    <t>Beryl</t>
  </si>
  <si>
    <t>Burnsyde</t>
  </si>
  <si>
    <t>VT01762</t>
  </si>
  <si>
    <t>Geena</t>
  </si>
  <si>
    <t>Raghavanpillai</t>
  </si>
  <si>
    <t>VT04273</t>
  </si>
  <si>
    <t>Brad</t>
  </si>
  <si>
    <t>Gumb</t>
  </si>
  <si>
    <t>SQ00187</t>
  </si>
  <si>
    <t>Rupak</t>
  </si>
  <si>
    <t>Mehra</t>
  </si>
  <si>
    <t>PR00113</t>
  </si>
  <si>
    <t>PR01383</t>
  </si>
  <si>
    <t>Addi</t>
  </si>
  <si>
    <t>Studdeard</t>
  </si>
  <si>
    <t>TN00258</t>
  </si>
  <si>
    <t>Joyce</t>
  </si>
  <si>
    <t>Leyband</t>
  </si>
  <si>
    <t>VT00476</t>
  </si>
  <si>
    <t>Hartin</t>
  </si>
  <si>
    <t>Sawini</t>
  </si>
  <si>
    <t>Chandan</t>
  </si>
  <si>
    <t>Baruna</t>
  </si>
  <si>
    <t>Ogale</t>
  </si>
  <si>
    <t>TN01566</t>
  </si>
  <si>
    <t>Fonzie</t>
  </si>
  <si>
    <t>O'Shea</t>
  </si>
  <si>
    <t>PR04851</t>
  </si>
  <si>
    <t>Rodina</t>
  </si>
  <si>
    <t>Drinan</t>
  </si>
  <si>
    <t>PR00007</t>
  </si>
  <si>
    <t>Torrance</t>
  </si>
  <si>
    <t>Collier</t>
  </si>
  <si>
    <t>SQ03491</t>
  </si>
  <si>
    <t>Freda</t>
  </si>
  <si>
    <t>Legan</t>
  </si>
  <si>
    <t>SQ02465</t>
  </si>
  <si>
    <t>Bernie</t>
  </si>
  <si>
    <t>Gorges</t>
  </si>
  <si>
    <t>VT00194</t>
  </si>
  <si>
    <t>Violante</t>
  </si>
  <si>
    <t>Courtonne</t>
  </si>
  <si>
    <t>TN00328</t>
  </si>
  <si>
    <t>Jeannie</t>
  </si>
  <si>
    <t>Petracco</t>
  </si>
  <si>
    <t>PR03137</t>
  </si>
  <si>
    <t>Jagajeet</t>
  </si>
  <si>
    <t>Viraj</t>
  </si>
  <si>
    <t>PR00246</t>
  </si>
  <si>
    <t>Husein</t>
  </si>
  <si>
    <t>Augar</t>
  </si>
  <si>
    <t>SQ02371</t>
  </si>
  <si>
    <t>Alida</t>
  </si>
  <si>
    <t>Welman</t>
  </si>
  <si>
    <t>VT04350</t>
  </si>
  <si>
    <t>Kulbhushan</t>
  </si>
  <si>
    <t>Moorthy</t>
  </si>
  <si>
    <t>SQ02035</t>
  </si>
  <si>
    <t>Anni</t>
  </si>
  <si>
    <t>Izzard</t>
  </si>
  <si>
    <t>SQ00286</t>
  </si>
  <si>
    <t>Ilesh</t>
  </si>
  <si>
    <t>Dasgupta</t>
  </si>
  <si>
    <t>TN02205</t>
  </si>
  <si>
    <t>Madhumati</t>
  </si>
  <si>
    <t>Gazala</t>
  </si>
  <si>
    <t>VT00740</t>
  </si>
  <si>
    <t>Chitrasen</t>
  </si>
  <si>
    <t>Laul</t>
  </si>
  <si>
    <t>PR01476</t>
  </si>
  <si>
    <t>Jaishree</t>
  </si>
  <si>
    <t>Atasi</t>
  </si>
  <si>
    <t>SQ03112</t>
  </si>
  <si>
    <t>Kantimoy</t>
  </si>
  <si>
    <t>Pritish</t>
  </si>
  <si>
    <t>PR01943</t>
  </si>
  <si>
    <t>Rameshwari</t>
  </si>
  <si>
    <t>Chikodi</t>
  </si>
  <si>
    <t>Lalit</t>
  </si>
  <si>
    <t>Kothari</t>
  </si>
  <si>
    <t>VT01996</t>
  </si>
  <si>
    <t>Hali</t>
  </si>
  <si>
    <t>Behnecke</t>
  </si>
  <si>
    <t>Sahas</t>
  </si>
  <si>
    <t>Sanabhi</t>
  </si>
  <si>
    <t>SQ02624</t>
  </si>
  <si>
    <t>Gwenneth</t>
  </si>
  <si>
    <t>Fealey</t>
  </si>
  <si>
    <t>SQ02565</t>
  </si>
  <si>
    <t>Konstantin</t>
  </si>
  <si>
    <t>Timblett</t>
  </si>
  <si>
    <t>SQ02582</t>
  </si>
  <si>
    <t>Kaishori</t>
  </si>
  <si>
    <t>Harathi</t>
  </si>
  <si>
    <t>TN02397</t>
  </si>
  <si>
    <t>Mendel</t>
  </si>
  <si>
    <t>Gentsch</t>
  </si>
  <si>
    <t>TN04265</t>
  </si>
  <si>
    <t>Rushil</t>
  </si>
  <si>
    <t>Kripa</t>
  </si>
  <si>
    <t>TN02204</t>
  </si>
  <si>
    <t>PR01306</t>
  </si>
  <si>
    <t>Patti</t>
  </si>
  <si>
    <t>Dradey</t>
  </si>
  <si>
    <t>VT03771</t>
  </si>
  <si>
    <t>Marjie</t>
  </si>
  <si>
    <t>Bamford</t>
  </si>
  <si>
    <t>SQ04613</t>
  </si>
  <si>
    <t>Sarojini</t>
  </si>
  <si>
    <t>Naueshwara</t>
  </si>
  <si>
    <t>PR02436</t>
  </si>
  <si>
    <t>Marmaduke</t>
  </si>
  <si>
    <t>Worssam</t>
  </si>
  <si>
    <t>VT00534</t>
  </si>
  <si>
    <t>Roselle</t>
  </si>
  <si>
    <t>Wandrach</t>
  </si>
  <si>
    <t>Sartaj</t>
  </si>
  <si>
    <t>Probal</t>
  </si>
  <si>
    <t>TN01396</t>
  </si>
  <si>
    <t>Koral</t>
  </si>
  <si>
    <t>Gerriet</t>
  </si>
  <si>
    <t>TN02377</t>
  </si>
  <si>
    <t>Anjela</t>
  </si>
  <si>
    <t>Spancock</t>
  </si>
  <si>
    <t>PR03532</t>
  </si>
  <si>
    <t>TN02988</t>
  </si>
  <si>
    <t>Mahindra</t>
  </si>
  <si>
    <t>Sreedharan</t>
  </si>
  <si>
    <t>VT04905</t>
  </si>
  <si>
    <t>Suchira</t>
  </si>
  <si>
    <t>Bhanupriya</t>
  </si>
  <si>
    <t>PR04366</t>
  </si>
  <si>
    <t>Carry</t>
  </si>
  <si>
    <t>Loblie</t>
  </si>
  <si>
    <t>Sushanti</t>
  </si>
  <si>
    <t>TN04775</t>
  </si>
  <si>
    <t>Hridaynath</t>
  </si>
  <si>
    <t>Tendulkar</t>
  </si>
  <si>
    <t>SQ03625</t>
  </si>
  <si>
    <t>Fidela</t>
  </si>
  <si>
    <t>Artis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</si>
</sst>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₹&quot;\ #,##0"/>
    <numFmt numFmtId="165" formatCode="&quot;$&quot;#,##0"/>
    <numFmt numFmtId="166" formatCode="&quot;$&quot;#,##0.00"/>
  </numFmts>
  <fonts count="13">
    <font>
      <sz val="11.0"/>
      <color theme="1"/>
      <name val="Calibri"/>
      <scheme val="minor"/>
    </font>
    <font>
      <sz val="11.0"/>
      <color theme="1"/>
      <name val="Calibri"/>
    </font>
    <font>
      <sz val="28.0"/>
      <color theme="1"/>
      <name val="Quattrocento Sans"/>
    </font>
    <font>
      <color theme="1"/>
      <name val="Calibri"/>
      <scheme val="minor"/>
    </font>
    <font>
      <u/>
      <sz val="11.0"/>
      <color theme="10"/>
      <name val="Calibri"/>
    </font>
    <font>
      <color rgb="FFFFFFFF"/>
      <name val="Calibri"/>
      <scheme val="minor"/>
    </font>
    <font>
      <b/>
      <sz val="15.0"/>
      <color rgb="FF44546A"/>
      <name val="Calibri"/>
    </font>
    <font/>
    <font>
      <b/>
      <sz val="11.0"/>
      <color rgb="FF44546A"/>
      <name val="Calibri"/>
    </font>
    <font>
      <b/>
      <color theme="1"/>
      <name val="Calibri"/>
      <scheme val="minor"/>
    </font>
    <font>
      <b/>
      <color rgb="FF000000"/>
      <name val="Calibri"/>
      <scheme val="minor"/>
    </font>
    <font>
      <b/>
      <i/>
      <color theme="1"/>
      <name val="Calibri"/>
      <scheme val="minor"/>
    </font>
    <font>
      <strike/>
      <color theme="0"/>
      <name val="Calibri"/>
      <scheme val="minor"/>
    </font>
  </fonts>
  <fills count="15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E7E6E6"/>
        <bgColor rgb="FFE7E6E6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theme="5"/>
        <bgColor theme="5"/>
      </patternFill>
    </fill>
    <fill>
      <patternFill patternType="solid">
        <fgColor theme="7"/>
        <bgColor theme="7"/>
      </patternFill>
    </fill>
    <fill>
      <patternFill patternType="solid">
        <fgColor rgb="FFFF9900"/>
        <bgColor rgb="FFFF9900"/>
      </patternFill>
    </fill>
    <fill>
      <patternFill patternType="solid">
        <fgColor rgb="FFD9E2F3"/>
        <bgColor rgb="FFD9E2F3"/>
      </patternFill>
    </fill>
    <fill>
      <patternFill patternType="solid">
        <fgColor theme="0"/>
        <bgColor theme="0"/>
      </patternFill>
    </fill>
    <fill>
      <patternFill patternType="solid">
        <fgColor rgb="FFF1C232"/>
        <bgColor rgb="FFF1C232"/>
      </patternFill>
    </fill>
    <fill>
      <patternFill patternType="solid">
        <fgColor rgb="FFFFF2CC"/>
        <bgColor rgb="FFFFF2CC"/>
      </patternFill>
    </fill>
    <fill>
      <patternFill patternType="solid">
        <fgColor rgb="FFE7F9EF"/>
        <bgColor rgb="FFE7F9EF"/>
      </patternFill>
    </fill>
  </fills>
  <borders count="7">
    <border/>
    <border>
      <left/>
      <right/>
      <top/>
      <bottom/>
    </border>
    <border>
      <bottom style="thick">
        <color theme="4"/>
      </bottom>
    </border>
    <border>
      <left/>
      <right/>
      <top/>
      <bottom style="medium">
        <color rgb="FF8EAADB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1" numFmtId="0" xfId="0" applyBorder="1" applyFill="1" applyFont="1"/>
    <xf borderId="1" fillId="3" fontId="2" numFmtId="0" xfId="0" applyAlignment="1" applyBorder="1" applyFill="1" applyFont="1">
      <alignment vertical="center"/>
    </xf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1" numFmtId="9" xfId="0" applyAlignment="1" applyFont="1" applyNumberFormat="1">
      <alignment shrinkToFit="0" vertical="center" wrapText="0"/>
    </xf>
    <xf borderId="0" fillId="0" fontId="1" numFmtId="14" xfId="0" applyAlignment="1" applyFont="1" applyNumberFormat="1">
      <alignment shrinkToFit="0" vertical="center" wrapText="0"/>
    </xf>
    <xf borderId="2" fillId="0" fontId="6" numFmtId="0" xfId="0" applyAlignment="1" applyBorder="1" applyFont="1">
      <alignment horizontal="center"/>
    </xf>
    <xf borderId="2" fillId="0" fontId="7" numFmtId="0" xfId="0" applyBorder="1" applyFont="1"/>
    <xf borderId="3" fillId="4" fontId="8" numFmtId="0" xfId="0" applyAlignment="1" applyBorder="1" applyFill="1" applyFont="1">
      <alignment horizontal="left"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2" fillId="0" fontId="6" numFmtId="0" xfId="0" applyAlignment="1" applyBorder="1" applyFont="1">
      <alignment horizontal="center" readingOrder="0"/>
    </xf>
    <xf borderId="0" fillId="5" fontId="3" numFmtId="0" xfId="0" applyFill="1" applyFont="1"/>
    <xf borderId="4" fillId="6" fontId="9" numFmtId="0" xfId="0" applyBorder="1" applyFill="1" applyFont="1"/>
    <xf borderId="4" fillId="0" fontId="3" numFmtId="0" xfId="0" applyBorder="1" applyFont="1"/>
    <xf borderId="4" fillId="0" fontId="3" numFmtId="165" xfId="0" applyBorder="1" applyFont="1" applyNumberFormat="1"/>
    <xf borderId="4" fillId="0" fontId="3" numFmtId="14" xfId="0" applyBorder="1" applyFont="1" applyNumberFormat="1"/>
    <xf borderId="5" fillId="4" fontId="9" numFmtId="0" xfId="0" applyAlignment="1" applyBorder="1" applyFill="1" applyFont="1">
      <alignment readingOrder="0"/>
    </xf>
    <xf borderId="6" fillId="4" fontId="10" numFmtId="0" xfId="0" applyAlignment="1" applyBorder="1" applyFill="1" applyFont="1">
      <alignment readingOrder="0"/>
    </xf>
    <xf borderId="0" fillId="5" fontId="9" numFmtId="0" xfId="0" applyFill="1" applyFont="1"/>
    <xf borderId="4" fillId="7" fontId="9" numFmtId="0" xfId="0" applyBorder="1" applyFill="1" applyFont="1"/>
    <xf borderId="4" fillId="0" fontId="3" numFmtId="166" xfId="0" applyBorder="1" applyFont="1" applyNumberFormat="1"/>
    <xf borderId="4" fillId="8" fontId="9" numFmtId="0" xfId="0" applyAlignment="1" applyBorder="1" applyFill="1" applyFont="1">
      <alignment horizontal="left"/>
    </xf>
    <xf borderId="4" fillId="0" fontId="3" numFmtId="0" xfId="0" applyAlignment="1" applyBorder="1" applyFont="1">
      <alignment horizontal="left"/>
    </xf>
    <xf borderId="4" fillId="0" fontId="3" numFmtId="165" xfId="0" applyAlignment="1" applyBorder="1" applyFont="1" applyNumberFormat="1">
      <alignment horizontal="right"/>
    </xf>
    <xf borderId="0" fillId="0" fontId="11" numFmtId="0" xfId="0" applyAlignment="1" applyFont="1">
      <alignment readingOrder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vertical="center" wrapText="0"/>
    </xf>
    <xf borderId="0" fillId="0" fontId="3" numFmtId="166" xfId="0" applyAlignment="1" applyFont="1" applyNumberForma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166" xfId="0" applyAlignment="1" applyFont="1" applyNumberFormat="1">
      <alignment shrinkToFit="0" vertical="center" wrapText="0"/>
    </xf>
    <xf borderId="0" fillId="0" fontId="3" numFmtId="166" xfId="0" applyAlignment="1" applyFont="1" applyNumberFormat="1">
      <alignment readingOrder="0" shrinkToFit="0" vertical="center" wrapText="0"/>
    </xf>
    <xf borderId="0" fillId="9" fontId="9" numFmtId="0" xfId="0" applyAlignment="1" applyFill="1" applyFont="1">
      <alignment readingOrder="0"/>
    </xf>
    <xf borderId="0" fillId="10" fontId="3" numFmtId="0" xfId="0" applyAlignment="1" applyFill="1" applyFont="1">
      <alignment readingOrder="0"/>
    </xf>
    <xf borderId="0" fillId="10" fontId="3" numFmtId="0" xfId="0" applyFill="1" applyFont="1"/>
    <xf borderId="0" fillId="0" fontId="9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0" fillId="3" fontId="3" numFmtId="0" xfId="0" applyFill="1" applyFont="1"/>
    <xf borderId="0" fillId="8" fontId="9" numFmtId="0" xfId="0" applyAlignment="1" applyFill="1" applyFont="1">
      <alignment readingOrder="0"/>
    </xf>
    <xf borderId="0" fillId="8" fontId="3" numFmtId="0" xfId="0" applyFill="1" applyFont="1"/>
    <xf borderId="0" fillId="7" fontId="3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11" fontId="12" numFmtId="0" xfId="0" applyAlignment="1" applyFill="1" applyFont="1">
      <alignment readingOrder="0"/>
    </xf>
    <xf borderId="0" fillId="12" fontId="3" numFmtId="0" xfId="0" applyAlignment="1" applyFill="1" applyFont="1">
      <alignment readingOrder="0"/>
    </xf>
    <xf borderId="0" fillId="13" fontId="3" numFmtId="0" xfId="0" applyAlignment="1" applyFill="1" applyFont="1">
      <alignment readingOrder="0"/>
    </xf>
    <xf borderId="0" fillId="13" fontId="3" numFmtId="0" xfId="0" applyFill="1" applyFont="1"/>
    <xf borderId="0" fillId="12" fontId="3" numFmtId="0" xfId="0" applyFill="1" applyFont="1"/>
    <xf borderId="0" fillId="0" fontId="3" numFmtId="14" xfId="0" applyFont="1" applyNumberFormat="1"/>
    <xf borderId="0" fillId="11" fontId="3" numFmtId="0" xfId="0" applyFill="1" applyFont="1"/>
    <xf borderId="0" fillId="5" fontId="3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13" fontId="9" numFmtId="0" xfId="0" applyAlignment="1" applyFill="1" applyFont="1">
      <alignment readingOrder="0"/>
    </xf>
    <xf borderId="0" fillId="0" fontId="3" numFmtId="14" xfId="0" applyFont="1" applyNumberFormat="1"/>
    <xf borderId="0" fillId="14" fontId="3" numFmtId="0" xfId="0" applyAlignment="1" applyFill="1" applyFont="1">
      <alignment readingOrder="0"/>
    </xf>
    <xf borderId="0" fillId="14" fontId="3" numFmtId="0" xfId="0" applyFill="1" applyFont="1"/>
    <xf borderId="0" fillId="10" fontId="9" numFmtId="0" xfId="0" applyAlignment="1" applyFill="1" applyFont="1">
      <alignment readingOrder="0"/>
    </xf>
    <xf borderId="0" fillId="10" fontId="3" numFmtId="165" xfId="0" applyFill="1" applyFont="1" applyNumberFormat="1"/>
    <xf borderId="0" fillId="14" fontId="9" numFmtId="0" xfId="0" applyAlignment="1" applyFill="1" applyFont="1">
      <alignment readingOrder="0"/>
    </xf>
    <xf borderId="0" fillId="0" fontId="3" numFmtId="166" xfId="0" applyFont="1" applyNumberFormat="1"/>
    <xf borderId="0" fillId="0" fontId="3" numFmtId="10" xfId="0" applyFont="1" applyNumberFormat="1"/>
  </cellXfs>
  <cellStyles count="1">
    <cellStyle xfId="0" name="Normal" builtinId="0"/>
  </cellStyles>
  <dxfs count="21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4472C4"/>
          <bgColor rgb="FF4472C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border>
        <left style="thin">
          <color rgb="FF4472C4"/>
        </left>
        <right style="thin">
          <color rgb="FF4472C4"/>
        </right>
        <top style="thin">
          <color rgb="FF4472C4"/>
        </top>
        <bottom style="thin">
          <color rgb="FF4472C4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8989EB"/>
          <bgColor rgb="FF8989EB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  <dxf>
      <font/>
      <fill>
        <patternFill patternType="solid">
          <fgColor rgb="FF63D297"/>
          <bgColor rgb="FF63D297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70AD47"/>
          <bgColor rgb="FF70AD47"/>
        </patternFill>
      </fill>
      <border/>
    </dxf>
    <dxf>
      <font/>
      <fill>
        <patternFill patternType="solid">
          <fgColor rgb="FF8BC34A"/>
          <bgColor rgb="FF8BC34A"/>
        </patternFill>
      </fill>
      <border/>
    </dxf>
    <dxf>
      <font/>
      <fill>
        <patternFill patternType="solid">
          <fgColor rgb="FFEEF7E3"/>
          <bgColor rgb="FFEEF7E3"/>
        </patternFill>
      </fill>
      <border/>
    </dxf>
  </dxfs>
  <tableStyles count="14">
    <tableStyle count="4" pivot="0" name="medal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taff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ulas-style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3" pivot="0" name="Formulas-style 2">
      <tableStyleElement dxfId="9" type="headerRow"/>
      <tableStyleElement dxfId="7" type="firstRowStripe"/>
      <tableStyleElement dxfId="10" type="secondRowStripe"/>
    </tableStyle>
    <tableStyle count="3" pivot="0" name="Formulas-style 3">
      <tableStyleElement dxfId="11" type="headerRow"/>
      <tableStyleElement dxfId="7" type="firstRowStripe"/>
      <tableStyleElement dxfId="12" type="secondRowStripe"/>
    </tableStyle>
    <tableStyle count="3" pivot="0" name="Formulas-style 4">
      <tableStyleElement dxfId="13" type="headerRow"/>
      <tableStyleElement dxfId="7" type="firstRowStripe"/>
      <tableStyleElement dxfId="14" type="secondRowStripe"/>
    </tableStyle>
    <tableStyle count="4" pivot="0" name="Formulas-style 5">
      <tableStyleElement dxfId="15" type="headerRow"/>
      <tableStyleElement dxfId="7" type="firstRowStripe"/>
      <tableStyleElement dxfId="16" type="secondRowStripe"/>
      <tableStyleElement dxfId="17" size="0" type="wholeTable"/>
    </tableStyle>
    <tableStyle count="2" pivot="0" name="Formulas-style 6">
      <tableStyleElement dxfId="2" type="firstRowStripe"/>
      <tableStyleElement dxfId="7" type="secondRowStripe"/>
    </tableStyle>
    <tableStyle count="2" pivot="0" name="Formulas-style 7">
      <tableStyleElement dxfId="6" type="firstRowStripe"/>
      <tableStyleElement dxfId="7" type="secondRowStripe"/>
    </tableStyle>
    <tableStyle count="2" pivot="0" name="Formulas-style 8">
      <tableStyleElement dxfId="6" type="firstRowStripe"/>
      <tableStyleElement dxfId="7" type="secondRowStripe"/>
    </tableStyle>
    <tableStyle count="3" pivot="0" name="Formulas-style 9">
      <tableStyleElement dxfId="18" type="headerRow"/>
      <tableStyleElement dxfId="2" type="firstRowStripe"/>
      <tableStyleElement dxfId="7" type="secondRowStripe"/>
    </tableStyle>
    <tableStyle count="3" pivot="0" name="Formulas-style 10">
      <tableStyleElement dxfId="11" type="headerRow"/>
      <tableStyleElement dxfId="7" type="firstRowStripe"/>
      <tableStyleElement dxfId="12" type="secondRowStripe"/>
    </tableStyle>
    <tableStyle count="3" pivot="0" name="Formulas-style 11">
      <tableStyleElement dxfId="5" type="headerRow"/>
      <tableStyleElement dxfId="6" type="firstRowStripe"/>
      <tableStyleElement dxfId="7" type="secondRowStripe"/>
    </tableStyle>
    <tableStyle count="3" pivot="0" name="Formulas-style 12">
      <tableStyleElement dxfId="19" type="headerRow"/>
      <tableStyleElement dxfId="7" type="firstRowStripe"/>
      <tableStyleElement dxfId="20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val>
            <c:numRef>
              <c:f>Formulas!$D$364:$D$375</c:f>
              <c:numCache/>
            </c:numRef>
          </c:val>
        </c:ser>
        <c:axId val="1095195880"/>
        <c:axId val="1407440470"/>
      </c:barChart>
      <c:catAx>
        <c:axId val="10951958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7440470"/>
      </c:catAx>
      <c:valAx>
        <c:axId val="14074404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51958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0</xdr:row>
      <xdr:rowOff>142875</xdr:rowOff>
    </xdr:from>
    <xdr:ext cx="2371725" cy="7048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857250</xdr:colOff>
      <xdr:row>375</xdr:row>
      <xdr:rowOff>133350</xdr:rowOff>
    </xdr:from>
    <xdr:ext cx="5715000" cy="1438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94" displayName="medals" name="medals" id="2">
  <tableColumns count="7">
    <tableColumn name="Rank" id="1"/>
    <tableColumn name="Country" id="2"/>
    <tableColumn name="Gold" id="3"/>
    <tableColumn name="Silver" id="4"/>
    <tableColumn name="Bronze" id="5"/>
    <tableColumn name="Total" id="6"/>
    <tableColumn name="Division" id="7"/>
  </tableColumns>
  <tableStyleInfo name="medals-style" showColumnStripes="0" showFirstColumn="1" showLastColumn="1" showRowStripes="1"/>
</table>
</file>

<file path=xl/tables/table2.xml><?xml version="1.0" encoding="utf-8"?>
<table xmlns="http://schemas.openxmlformats.org/spreadsheetml/2006/main" ref="A1:M261" displayName="Staff" name="Staff" id="1">
  <tableColumns count="13">
    <tableColumn name="Emp ID" id="1"/>
    <tableColumn name="First Name" id="2"/>
    <tableColumn name="Last Name" id="3"/>
    <tableColumn name="Gender" id="4"/>
    <tableColumn name="Department" id="5"/>
    <tableColumn name="Salary" id="6"/>
    <tableColumn name="Salary Bucket" id="7"/>
    <tableColumn name="Start Date" id="8"/>
    <tableColumn name="FTE" id="9"/>
    <tableColumn name="Employee type" id="10"/>
    <tableColumn name="Work location" id="11"/>
    <tableColumn name="Age" id="12"/>
    <tableColumn name="Work Type" id="13"/>
  </tableColumns>
  <tableStyleInfo name="Staff-style" showColumnStripes="0" showFirstColumn="1" showLastColumn="1" showRowStripes="1"/>
</table>
</file>

<file path=xl/tables/table3.xml><?xml version="1.0" encoding="utf-8"?>
<table xmlns="http://schemas.openxmlformats.org/spreadsheetml/2006/main" ref="B3:F15" displayName="Table3" name="Table3" id="3">
  <tableColumns count="5">
    <tableColumn name="Department" id="1"/>
    <tableColumn name="Headcount" id="2"/>
    <tableColumn name="Total Salary" id="3"/>
    <tableColumn name="Avg. Salary" id="4"/>
    <tableColumn name="Permanent Headcount" id="5"/>
  </tableColumns>
  <tableStyleInfo name="Formulas-style" showColumnStripes="0" showFirstColumn="1" showLastColumn="1" showRowStripes="1"/>
</table>
</file>

<file path=xl/tables/table4.xml><?xml version="1.0" encoding="utf-8"?>
<table xmlns="http://schemas.openxmlformats.org/spreadsheetml/2006/main" ref="B22:N69" displayName="Table_1" name="Table_1" id="4">
  <tableColumns count="13">
    <tableColumn name="Emp ID" id="1"/>
    <tableColumn name="First Name" id="2"/>
    <tableColumn name="Last Name" id="3"/>
    <tableColumn name="Gender" id="4"/>
    <tableColumn name="Department" id="5"/>
    <tableColumn name="Salary" id="6"/>
    <tableColumn name="Salary Bucket" id="7"/>
    <tableColumn name="Start Date" id="8"/>
    <tableColumn name="FTE" id="9"/>
    <tableColumn name="Employee type" id="10"/>
    <tableColumn name="Work location" id="11"/>
    <tableColumn name="Age" id="12"/>
    <tableColumn name="Work Type" id="13"/>
  </tableColumns>
  <tableStyleInfo name="Formulas-style 2" showColumnStripes="0" showFirstColumn="1" showLastColumn="1" showRowStripes="1"/>
</table>
</file>

<file path=xl/tables/table5.xml><?xml version="1.0" encoding="utf-8"?>
<table xmlns="http://schemas.openxmlformats.org/spreadsheetml/2006/main" ref="A75:E117" displayName="Table_2" name="Table_2" id="5">
  <tableColumns count="5">
    <tableColumn name="Emp ID" id="1"/>
    <tableColumn name="First Name" id="2"/>
    <tableColumn name="Last Name" id="3"/>
    <tableColumn name="Department" id="4"/>
    <tableColumn name="Salary" id="5"/>
  </tableColumns>
  <tableStyleInfo name="Formulas-style 3" showColumnStripes="0" showFirstColumn="1" showLastColumn="1" showRowStripes="1"/>
</table>
</file>

<file path=xl/tables/table6.xml><?xml version="1.0" encoding="utf-8"?>
<table xmlns="http://schemas.openxmlformats.org/spreadsheetml/2006/main" ref="A122:F132" displayName="Table_3" name="Table_3" id="6">
  <tableColumns count="6">
    <tableColumn name="Emp ID" id="1"/>
    <tableColumn name="First Name" id="2"/>
    <tableColumn name="Last Name" id="3"/>
    <tableColumn name="Gender" id="4"/>
    <tableColumn name="Department" id="5"/>
    <tableColumn name="Salary" id="6"/>
  </tableColumns>
  <tableStyleInfo name="Formulas-style 4" showColumnStripes="0" showFirstColumn="1" showLastColumn="1" showRowStripes="1"/>
</table>
</file>

<file path=xl/tables/table7.xml><?xml version="1.0" encoding="utf-8"?>
<table xmlns="http://schemas.openxmlformats.org/spreadsheetml/2006/main" ref="A137:D152" displayName="Salary_by_Gender" name="Salary_by_Gender" id="7">
  <tableColumns count="4">
    <tableColumn name="Column 1" id="1"/>
    <tableColumn name="All Employees" id="2"/>
    <tableColumn name="Male" id="3"/>
    <tableColumn name="Female" id="4"/>
  </tableColumns>
  <tableStyleInfo name="Formulas-style 5" showColumnStripes="0" showFirstColumn="1" showLastColumn="1" showRowStripes="1"/>
</table>
</file>

<file path=xl/tables/table8.xml><?xml version="1.0" encoding="utf-8"?>
<table xmlns="http://schemas.openxmlformats.org/spreadsheetml/2006/main" headerRowCount="0" ref="A178:B181" displayName="Table_4" name="Table_4" id="8">
  <tableColumns count="2">
    <tableColumn name="Column1" id="1"/>
    <tableColumn name="Column2" id="2"/>
  </tableColumns>
  <tableStyleInfo name="Formulas-style 6" showColumnStripes="0" showFirstColumn="1" showLastColumn="1" showRowStripes="1"/>
</table>
</file>

<file path=xl/tables/table9.xml><?xml version="1.0" encoding="utf-8"?>
<table xmlns="http://schemas.openxmlformats.org/spreadsheetml/2006/main" headerRowCount="0" ref="A186:B189" displayName="Table_5" name="Table_5" id="9">
  <tableColumns count="2">
    <tableColumn name="Column1" id="1"/>
    <tableColumn name="Column2" id="2"/>
  </tableColumns>
  <tableStyleInfo name="Formulas-style 7" showColumnStripes="0" showFirstColumn="1" showLastColumn="1" showRowStripes="1"/>
</table>
</file>

<file path=xl/tables/table10.xml><?xml version="1.0" encoding="utf-8"?>
<table xmlns="http://schemas.openxmlformats.org/spreadsheetml/2006/main" headerRowCount="0" ref="A193:B196" displayName="Table_6" name="Table_6" id="10">
  <tableColumns count="2">
    <tableColumn name="Column1" id="1"/>
    <tableColumn name="Column2" id="2"/>
  </tableColumns>
  <tableStyleInfo name="Formulas-style 8" showColumnStripes="0" showFirstColumn="1" showLastColumn="1" showRowStripes="1"/>
</table>
</file>

<file path=xl/tables/table11.xml><?xml version="1.0" encoding="utf-8"?>
<table xmlns="http://schemas.openxmlformats.org/spreadsheetml/2006/main" ref="A198:A211" displayName="Table_7" name="Table_7" id="11">
  <tableColumns count="1">
    <tableColumn name="All Details for the match" id="1"/>
  </tableColumns>
  <tableStyleInfo name="Formulas-style 9" showColumnStripes="0" showFirstColumn="1" showLastColumn="1" showRowStripes="1"/>
</table>
</file>

<file path=xl/tables/table12.xml><?xml version="1.0" encoding="utf-8"?>
<table xmlns="http://schemas.openxmlformats.org/spreadsheetml/2006/main" ref="B219:D240" displayName="Table_8" name="Table_8" id="12">
  <tableColumns count="3">
    <tableColumn name="SQ04612" id="1"/>
    <tableColumn name="Mick" id="2"/>
    <tableColumn name="Spraberry" id="3"/>
  </tableColumns>
  <tableStyleInfo name="Formulas-style 10" showColumnStripes="0" showFirstColumn="1" showLastColumn="1" showRowStripes="1"/>
</table>
</file>

<file path=xl/tables/table13.xml><?xml version="1.0" encoding="utf-8"?>
<table xmlns="http://schemas.openxmlformats.org/spreadsheetml/2006/main" ref="B242:D355" displayName="Table_9" name="Table_9" id="13">
  <tableColumns count="3">
    <tableColumn name="PR00147" id="1"/>
    <tableColumn name="Minerva" id="2"/>
    <tableColumn name="Ricardot" id="3"/>
  </tableColumns>
  <tableStyleInfo name="Formulas-style 11" showColumnStripes="0" showFirstColumn="1" showLastColumn="1" showRowStripes="1"/>
</table>
</file>

<file path=xl/tables/table14.xml><?xml version="1.0" encoding="utf-8"?>
<table xmlns="http://schemas.openxmlformats.org/spreadsheetml/2006/main" ref="A363:G375" displayName="Table_10" name="Table_10" id="14">
  <tableColumns count="7">
    <tableColumn name="Department" id="1"/>
    <tableColumn name="Headcount" id="2"/>
    <tableColumn name="Avg Salary" id="3"/>
    <tableColumn name="% diff from Overall Avg. Salary" id="4"/>
    <tableColumn name="Highest Salary" id="5"/>
    <tableColumn name="Median Salary" id="6"/>
    <tableColumn name="Female Ratio" id="7"/>
  </tableColumns>
  <tableStyleInfo name="Formulas-style 1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en.wikipedia.org/wiki/2020_Summer_Olympics_medal_table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table" Target="../tables/table9.xml"/><Relationship Id="rId22" Type="http://schemas.openxmlformats.org/officeDocument/2006/relationships/table" Target="../tables/table11.xml"/><Relationship Id="rId21" Type="http://schemas.openxmlformats.org/officeDocument/2006/relationships/table" Target="../tables/table10.xml"/><Relationship Id="rId24" Type="http://schemas.openxmlformats.org/officeDocument/2006/relationships/table" Target="../tables/table13.xml"/><Relationship Id="rId23" Type="http://schemas.openxmlformats.org/officeDocument/2006/relationships/table" Target="../tables/table12.xml"/><Relationship Id="rId1" Type="http://schemas.openxmlformats.org/officeDocument/2006/relationships/drawing" Target="../drawings/drawing4.xml"/><Relationship Id="rId15" Type="http://schemas.openxmlformats.org/officeDocument/2006/relationships/table" Target="../tables/table4.xml"/><Relationship Id="rId14" Type="http://schemas.openxmlformats.org/officeDocument/2006/relationships/table" Target="../tables/table3.xml"/><Relationship Id="rId25" Type="http://schemas.openxmlformats.org/officeDocument/2006/relationships/table" Target="../tables/table14.xml"/><Relationship Id="rId17" Type="http://schemas.openxmlformats.org/officeDocument/2006/relationships/table" Target="../tables/table6.xml"/><Relationship Id="rId16" Type="http://schemas.openxmlformats.org/officeDocument/2006/relationships/table" Target="../tables/table5.xml"/><Relationship Id="rId19" Type="http://schemas.openxmlformats.org/officeDocument/2006/relationships/table" Target="../tables/table8.xml"/><Relationship Id="rId18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.71"/>
    <col customWidth="1" min="2" max="2" width="3.71"/>
    <col customWidth="1" min="3" max="26" width="8.71"/>
  </cols>
  <sheetData>
    <row r="1" ht="52.5" customHeight="1">
      <c r="A1" s="1"/>
      <c r="B1" s="2"/>
      <c r="C1" s="3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/>
    <row r="3" ht="14.25" customHeight="1"/>
    <row r="4" ht="14.25" customHeight="1">
      <c r="C4" s="4" t="s">
        <v>1</v>
      </c>
      <c r="D4" s="5" t="s">
        <v>2</v>
      </c>
    </row>
    <row r="5" ht="14.25" customHeight="1">
      <c r="C5" s="4" t="s">
        <v>3</v>
      </c>
      <c r="D5" s="4" t="s">
        <v>4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D4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57"/>
    <col customWidth="1" min="2" max="2" width="18.86"/>
    <col customWidth="1" min="3" max="3" width="7.57"/>
    <col customWidth="1" min="4" max="4" width="8.29"/>
    <col customWidth="1" min="5" max="5" width="9.43"/>
    <col customWidth="1" min="6" max="6" width="7.71"/>
    <col customWidth="1" min="7" max="7" width="10.43"/>
    <col customWidth="1" min="8" max="26" width="8.71"/>
  </cols>
  <sheetData>
    <row r="1" ht="14.25" customHeight="1">
      <c r="A1" s="6" t="s">
        <v>5</v>
      </c>
      <c r="B1" s="6" t="s">
        <v>7</v>
      </c>
      <c r="C1" s="6" t="s">
        <v>9</v>
      </c>
      <c r="D1" s="6" t="s">
        <v>11</v>
      </c>
      <c r="E1" s="6" t="s">
        <v>13</v>
      </c>
      <c r="F1" s="6" t="s">
        <v>15</v>
      </c>
      <c r="G1" s="6" t="s">
        <v>18</v>
      </c>
    </row>
    <row r="2" ht="14.25" customHeight="1">
      <c r="A2" s="7" t="s">
        <v>21</v>
      </c>
      <c r="B2" s="7" t="s">
        <v>24</v>
      </c>
      <c r="C2" s="7">
        <v>39.0</v>
      </c>
      <c r="D2" s="7">
        <v>41.0</v>
      </c>
      <c r="E2" s="7">
        <v>33.0</v>
      </c>
      <c r="F2" s="7">
        <v>113.0</v>
      </c>
      <c r="G2" s="8">
        <v>0.345132743362832</v>
      </c>
    </row>
    <row r="3" ht="14.25" customHeight="1">
      <c r="A3" s="7" t="s">
        <v>33</v>
      </c>
      <c r="B3" s="7" t="s">
        <v>34</v>
      </c>
      <c r="C3" s="7">
        <v>38.0</v>
      </c>
      <c r="D3" s="7">
        <v>32.0</v>
      </c>
      <c r="E3" s="7">
        <v>19.0</v>
      </c>
      <c r="F3" s="7">
        <v>89.0</v>
      </c>
      <c r="G3" s="8">
        <v>0.426966292134831</v>
      </c>
    </row>
    <row r="4" ht="14.25" customHeight="1">
      <c r="A4" s="7" t="s">
        <v>37</v>
      </c>
      <c r="B4" s="7" t="s">
        <v>38</v>
      </c>
      <c r="C4" s="7">
        <v>27.0</v>
      </c>
      <c r="D4" s="7">
        <v>14.0</v>
      </c>
      <c r="E4" s="7">
        <v>17.0</v>
      </c>
      <c r="F4" s="7">
        <v>58.0</v>
      </c>
      <c r="G4" s="8">
        <v>0.46551724137931</v>
      </c>
    </row>
    <row r="5" ht="14.25" customHeight="1">
      <c r="A5" s="7" t="s">
        <v>40</v>
      </c>
      <c r="B5" s="7" t="s">
        <v>42</v>
      </c>
      <c r="C5" s="7">
        <v>22.0</v>
      </c>
      <c r="D5" s="7">
        <v>20.0</v>
      </c>
      <c r="E5" s="7">
        <v>22.0</v>
      </c>
      <c r="F5" s="7">
        <v>64.0</v>
      </c>
      <c r="G5" s="8">
        <v>0.34375</v>
      </c>
    </row>
    <row r="6" ht="14.25" customHeight="1">
      <c r="A6" s="7" t="s">
        <v>48</v>
      </c>
      <c r="B6" s="7" t="s">
        <v>49</v>
      </c>
      <c r="C6" s="7">
        <v>20.0</v>
      </c>
      <c r="D6" s="7">
        <v>28.0</v>
      </c>
      <c r="E6" s="7">
        <v>23.0</v>
      </c>
      <c r="F6" s="7">
        <v>71.0</v>
      </c>
      <c r="G6" s="8">
        <v>0.28169014084507</v>
      </c>
    </row>
    <row r="7" ht="14.25" customHeight="1">
      <c r="A7" s="7" t="s">
        <v>52</v>
      </c>
      <c r="B7" s="7" t="s">
        <v>54</v>
      </c>
      <c r="C7" s="7">
        <v>17.0</v>
      </c>
      <c r="D7" s="7">
        <v>7.0</v>
      </c>
      <c r="E7" s="7">
        <v>22.0</v>
      </c>
      <c r="F7" s="7">
        <v>46.0</v>
      </c>
      <c r="G7" s="8">
        <v>0.369565217391304</v>
      </c>
    </row>
    <row r="8" ht="14.25" customHeight="1">
      <c r="A8" s="7" t="s">
        <v>58</v>
      </c>
      <c r="B8" s="7" t="s">
        <v>59</v>
      </c>
      <c r="C8" s="7">
        <v>10.0</v>
      </c>
      <c r="D8" s="7">
        <v>12.0</v>
      </c>
      <c r="E8" s="7">
        <v>14.0</v>
      </c>
      <c r="F8" s="7">
        <v>36.0</v>
      </c>
      <c r="G8" s="8">
        <v>0.277777777777778</v>
      </c>
    </row>
    <row r="9" ht="14.25" customHeight="1">
      <c r="A9" s="7" t="s">
        <v>61</v>
      </c>
      <c r="B9" s="7" t="s">
        <v>63</v>
      </c>
      <c r="C9" s="7">
        <v>10.0</v>
      </c>
      <c r="D9" s="7">
        <v>12.0</v>
      </c>
      <c r="E9" s="7">
        <v>11.0</v>
      </c>
      <c r="F9" s="7">
        <v>33.0</v>
      </c>
      <c r="G9" s="8">
        <v>0.303030303030303</v>
      </c>
    </row>
    <row r="10" ht="14.25" customHeight="1">
      <c r="A10" s="7" t="s">
        <v>66</v>
      </c>
      <c r="B10" s="7" t="s">
        <v>68</v>
      </c>
      <c r="C10" s="7">
        <v>10.0</v>
      </c>
      <c r="D10" s="7">
        <v>11.0</v>
      </c>
      <c r="E10" s="7">
        <v>16.0</v>
      </c>
      <c r="F10" s="7">
        <v>37.0</v>
      </c>
      <c r="G10" s="8">
        <v>0.27027027027027</v>
      </c>
    </row>
    <row r="11" ht="14.25" customHeight="1">
      <c r="A11" s="7" t="s">
        <v>72</v>
      </c>
      <c r="B11" s="7" t="s">
        <v>73</v>
      </c>
      <c r="C11" s="7">
        <v>10.0</v>
      </c>
      <c r="D11" s="7">
        <v>10.0</v>
      </c>
      <c r="E11" s="7">
        <v>20.0</v>
      </c>
      <c r="F11" s="7">
        <v>40.0</v>
      </c>
      <c r="G11" s="8">
        <v>0.25</v>
      </c>
    </row>
    <row r="12" ht="14.25" customHeight="1">
      <c r="A12" s="7" t="s">
        <v>75</v>
      </c>
      <c r="B12" s="7" t="s">
        <v>76</v>
      </c>
      <c r="C12" s="7">
        <v>7.0</v>
      </c>
      <c r="D12" s="7">
        <v>7.0</v>
      </c>
      <c r="E12" s="7">
        <v>10.0</v>
      </c>
      <c r="F12" s="7">
        <v>24.0</v>
      </c>
      <c r="G12" s="8">
        <v>0.291666666666667</v>
      </c>
    </row>
    <row r="13" ht="14.25" customHeight="1">
      <c r="A13" s="7" t="s">
        <v>80</v>
      </c>
      <c r="B13" s="7" t="s">
        <v>81</v>
      </c>
      <c r="C13" s="7">
        <v>7.0</v>
      </c>
      <c r="D13" s="7">
        <v>6.0</v>
      </c>
      <c r="E13" s="7">
        <v>8.0</v>
      </c>
      <c r="F13" s="7">
        <v>21.0</v>
      </c>
      <c r="G13" s="8">
        <v>0.333333333333333</v>
      </c>
    </row>
    <row r="14" ht="14.25" customHeight="1">
      <c r="A14" s="7" t="s">
        <v>82</v>
      </c>
      <c r="B14" s="7" t="s">
        <v>83</v>
      </c>
      <c r="C14" s="7">
        <v>7.0</v>
      </c>
      <c r="D14" s="7">
        <v>6.0</v>
      </c>
      <c r="E14" s="7">
        <v>7.0</v>
      </c>
      <c r="F14" s="7">
        <v>20.0</v>
      </c>
      <c r="G14" s="8">
        <v>0.35</v>
      </c>
    </row>
    <row r="15" ht="14.25" customHeight="1">
      <c r="A15" s="7" t="s">
        <v>86</v>
      </c>
      <c r="B15" s="7" t="s">
        <v>88</v>
      </c>
      <c r="C15" s="7">
        <v>7.0</v>
      </c>
      <c r="D15" s="7">
        <v>3.0</v>
      </c>
      <c r="E15" s="7">
        <v>5.0</v>
      </c>
      <c r="F15" s="7">
        <v>15.0</v>
      </c>
      <c r="G15" s="8">
        <v>0.466666666666667</v>
      </c>
    </row>
    <row r="16" ht="14.25" customHeight="1">
      <c r="A16" s="7" t="s">
        <v>92</v>
      </c>
      <c r="B16" s="7" t="s">
        <v>93</v>
      </c>
      <c r="C16" s="7">
        <v>6.0</v>
      </c>
      <c r="D16" s="7">
        <v>7.0</v>
      </c>
      <c r="E16" s="7">
        <v>7.0</v>
      </c>
      <c r="F16" s="7">
        <v>20.0</v>
      </c>
      <c r="G16" s="8">
        <v>0.3</v>
      </c>
    </row>
    <row r="17" ht="14.25" customHeight="1">
      <c r="A17" s="7" t="s">
        <v>95</v>
      </c>
      <c r="B17" s="7" t="s">
        <v>96</v>
      </c>
      <c r="C17" s="7">
        <v>6.0</v>
      </c>
      <c r="D17" s="7">
        <v>4.0</v>
      </c>
      <c r="E17" s="7">
        <v>10.0</v>
      </c>
      <c r="F17" s="7">
        <v>20.0</v>
      </c>
      <c r="G17" s="8">
        <v>0.3</v>
      </c>
    </row>
    <row r="18" ht="14.25" customHeight="1">
      <c r="A18" s="7" t="s">
        <v>100</v>
      </c>
      <c r="B18" s="7" t="s">
        <v>102</v>
      </c>
      <c r="C18" s="7">
        <v>4.0</v>
      </c>
      <c r="D18" s="7">
        <v>5.0</v>
      </c>
      <c r="E18" s="7">
        <v>5.0</v>
      </c>
      <c r="F18" s="7">
        <v>14.0</v>
      </c>
      <c r="G18" s="8">
        <v>0.285714285714286</v>
      </c>
    </row>
    <row r="19" ht="14.25" customHeight="1">
      <c r="A19" s="7" t="s">
        <v>107</v>
      </c>
      <c r="B19" s="7" t="s">
        <v>108</v>
      </c>
      <c r="C19" s="7">
        <v>4.0</v>
      </c>
      <c r="D19" s="7">
        <v>4.0</v>
      </c>
      <c r="E19" s="7">
        <v>3.0</v>
      </c>
      <c r="F19" s="7">
        <v>11.0</v>
      </c>
      <c r="G19" s="8">
        <v>0.363636363636364</v>
      </c>
    </row>
    <row r="20" ht="14.25" customHeight="1">
      <c r="A20" s="7" t="s">
        <v>113</v>
      </c>
      <c r="B20" s="7" t="s">
        <v>114</v>
      </c>
      <c r="C20" s="7">
        <v>4.0</v>
      </c>
      <c r="D20" s="7">
        <v>4.0</v>
      </c>
      <c r="E20" s="7">
        <v>2.0</v>
      </c>
      <c r="F20" s="7">
        <v>10.0</v>
      </c>
      <c r="G20" s="8">
        <v>0.4</v>
      </c>
    </row>
    <row r="21" ht="14.25" customHeight="1">
      <c r="A21" s="7" t="s">
        <v>116</v>
      </c>
      <c r="B21" s="7" t="s">
        <v>117</v>
      </c>
      <c r="C21" s="7">
        <v>4.0</v>
      </c>
      <c r="D21" s="7">
        <v>2.0</v>
      </c>
      <c r="E21" s="7">
        <v>2.0</v>
      </c>
      <c r="F21" s="7">
        <v>8.0</v>
      </c>
      <c r="G21" s="8">
        <v>0.5</v>
      </c>
    </row>
    <row r="22" ht="14.25" customHeight="1">
      <c r="A22" s="7" t="s">
        <v>121</v>
      </c>
      <c r="B22" s="7" t="s">
        <v>122</v>
      </c>
      <c r="C22" s="7">
        <v>4.0</v>
      </c>
      <c r="D22" s="7">
        <v>1.0</v>
      </c>
      <c r="E22" s="7">
        <v>4.0</v>
      </c>
      <c r="F22" s="7">
        <v>9.0</v>
      </c>
      <c r="G22" s="8">
        <v>0.444444444444444</v>
      </c>
    </row>
    <row r="23" ht="14.25" customHeight="1">
      <c r="A23" s="7" t="s">
        <v>123</v>
      </c>
      <c r="B23" s="7" t="s">
        <v>124</v>
      </c>
      <c r="C23" s="7">
        <v>3.0</v>
      </c>
      <c r="D23" s="7">
        <v>8.0</v>
      </c>
      <c r="E23" s="7">
        <v>6.0</v>
      </c>
      <c r="F23" s="7">
        <v>17.0</v>
      </c>
      <c r="G23" s="8">
        <v>0.176470588235294</v>
      </c>
    </row>
    <row r="24" ht="14.25" customHeight="1">
      <c r="A24" s="7" t="s">
        <v>126</v>
      </c>
      <c r="B24" s="7" t="s">
        <v>129</v>
      </c>
      <c r="C24" s="7">
        <v>3.0</v>
      </c>
      <c r="D24" s="7">
        <v>6.0</v>
      </c>
      <c r="E24" s="7">
        <v>0.0</v>
      </c>
      <c r="F24" s="7">
        <v>9.0</v>
      </c>
      <c r="G24" s="8">
        <v>0.333333333333333</v>
      </c>
    </row>
    <row r="25" ht="14.25" customHeight="1">
      <c r="A25" s="7" t="s">
        <v>131</v>
      </c>
      <c r="B25" s="7" t="s">
        <v>132</v>
      </c>
      <c r="C25" s="7">
        <v>3.0</v>
      </c>
      <c r="D25" s="7">
        <v>4.0</v>
      </c>
      <c r="E25" s="7">
        <v>6.0</v>
      </c>
      <c r="F25" s="7">
        <v>13.0</v>
      </c>
      <c r="G25" s="8">
        <v>0.230769230769231</v>
      </c>
    </row>
    <row r="26" ht="14.25" customHeight="1">
      <c r="A26" s="7" t="s">
        <v>136</v>
      </c>
      <c r="B26" s="7" t="s">
        <v>137</v>
      </c>
      <c r="C26" s="7">
        <v>3.0</v>
      </c>
      <c r="D26" s="7">
        <v>4.0</v>
      </c>
      <c r="E26" s="7">
        <v>4.0</v>
      </c>
      <c r="F26" s="7">
        <v>11.0</v>
      </c>
      <c r="G26" s="8">
        <v>0.272727272727273</v>
      </c>
    </row>
    <row r="27" ht="14.25" customHeight="1">
      <c r="A27" s="7" t="s">
        <v>138</v>
      </c>
      <c r="B27" s="7" t="s">
        <v>139</v>
      </c>
      <c r="C27" s="7">
        <v>3.0</v>
      </c>
      <c r="D27" s="7">
        <v>3.0</v>
      </c>
      <c r="E27" s="7">
        <v>2.0</v>
      </c>
      <c r="F27" s="7">
        <v>8.0</v>
      </c>
      <c r="G27" s="8">
        <v>0.375</v>
      </c>
    </row>
    <row r="28" ht="14.25" customHeight="1">
      <c r="A28" s="7" t="s">
        <v>140</v>
      </c>
      <c r="B28" s="7" t="s">
        <v>142</v>
      </c>
      <c r="C28" s="7">
        <v>3.0</v>
      </c>
      <c r="D28" s="7">
        <v>2.0</v>
      </c>
      <c r="E28" s="7">
        <v>2.0</v>
      </c>
      <c r="F28" s="7">
        <v>7.0</v>
      </c>
      <c r="G28" s="8">
        <v>0.428571428571429</v>
      </c>
    </row>
    <row r="29" ht="14.25" customHeight="1">
      <c r="A29" s="7" t="s">
        <v>145</v>
      </c>
      <c r="B29" s="7" t="s">
        <v>146</v>
      </c>
      <c r="C29" s="7">
        <v>3.0</v>
      </c>
      <c r="D29" s="7">
        <v>1.0</v>
      </c>
      <c r="E29" s="7">
        <v>5.0</v>
      </c>
      <c r="F29" s="7">
        <v>9.0</v>
      </c>
      <c r="G29" s="8">
        <v>0.333333333333333</v>
      </c>
    </row>
    <row r="30" ht="14.25" customHeight="1">
      <c r="A30" s="7" t="s">
        <v>148</v>
      </c>
      <c r="B30" s="7" t="s">
        <v>149</v>
      </c>
      <c r="C30" s="7">
        <v>3.0</v>
      </c>
      <c r="D30" s="7">
        <v>1.0</v>
      </c>
      <c r="E30" s="7">
        <v>3.0</v>
      </c>
      <c r="F30" s="7">
        <v>7.0</v>
      </c>
      <c r="G30" s="8">
        <v>0.428571428571429</v>
      </c>
    </row>
    <row r="31" ht="14.25" customHeight="1">
      <c r="A31" s="7" t="s">
        <v>153</v>
      </c>
      <c r="B31" s="7" t="s">
        <v>154</v>
      </c>
      <c r="C31" s="7">
        <v>3.0</v>
      </c>
      <c r="D31" s="7">
        <v>1.0</v>
      </c>
      <c r="E31" s="7">
        <v>2.0</v>
      </c>
      <c r="F31" s="7">
        <v>6.0</v>
      </c>
      <c r="G31" s="8">
        <v>0.5</v>
      </c>
    </row>
    <row r="32" ht="14.25" customHeight="1">
      <c r="A32" s="7" t="s">
        <v>157</v>
      </c>
      <c r="B32" s="7" t="s">
        <v>159</v>
      </c>
      <c r="C32" s="7">
        <v>3.0</v>
      </c>
      <c r="D32" s="7">
        <v>1.0</v>
      </c>
      <c r="E32" s="7">
        <v>1.0</v>
      </c>
      <c r="F32" s="7">
        <v>5.0</v>
      </c>
      <c r="G32" s="8">
        <v>0.6</v>
      </c>
    </row>
    <row r="33" ht="14.25" customHeight="1">
      <c r="A33" s="7" t="s">
        <v>163</v>
      </c>
      <c r="B33" s="7" t="s">
        <v>164</v>
      </c>
      <c r="C33" s="7">
        <v>3.0</v>
      </c>
      <c r="D33" s="7">
        <v>0.0</v>
      </c>
      <c r="E33" s="7">
        <v>2.0</v>
      </c>
      <c r="F33" s="7">
        <v>5.0</v>
      </c>
      <c r="G33" s="8">
        <v>0.6</v>
      </c>
    </row>
    <row r="34" ht="14.25" customHeight="1">
      <c r="A34" s="7" t="s">
        <v>165</v>
      </c>
      <c r="B34" s="7" t="s">
        <v>166</v>
      </c>
      <c r="C34" s="7">
        <v>2.0</v>
      </c>
      <c r="D34" s="7">
        <v>5.0</v>
      </c>
      <c r="E34" s="7">
        <v>1.0</v>
      </c>
      <c r="F34" s="7">
        <v>8.0</v>
      </c>
      <c r="G34" s="8">
        <v>0.25</v>
      </c>
    </row>
    <row r="35" ht="14.25" customHeight="1">
      <c r="A35" s="7" t="s">
        <v>170</v>
      </c>
      <c r="B35" s="7" t="s">
        <v>171</v>
      </c>
      <c r="C35" s="7">
        <v>2.0</v>
      </c>
      <c r="D35" s="7">
        <v>4.0</v>
      </c>
      <c r="E35" s="7">
        <v>6.0</v>
      </c>
      <c r="F35" s="7">
        <v>12.0</v>
      </c>
      <c r="G35" s="8">
        <v>0.166666666666667</v>
      </c>
    </row>
    <row r="36" ht="14.25" customHeight="1">
      <c r="A36" s="7" t="s">
        <v>173</v>
      </c>
      <c r="B36" s="7" t="s">
        <v>174</v>
      </c>
      <c r="C36" s="7">
        <v>2.0</v>
      </c>
      <c r="D36" s="7">
        <v>2.0</v>
      </c>
      <c r="E36" s="7">
        <v>9.0</v>
      </c>
      <c r="F36" s="7">
        <v>13.0</v>
      </c>
      <c r="G36" s="8">
        <v>0.153846153846154</v>
      </c>
    </row>
    <row r="37" ht="14.25" customHeight="1">
      <c r="A37" s="7" t="s">
        <v>178</v>
      </c>
      <c r="B37" s="7" t="s">
        <v>179</v>
      </c>
      <c r="C37" s="7">
        <v>2.0</v>
      </c>
      <c r="D37" s="7">
        <v>1.0</v>
      </c>
      <c r="E37" s="7">
        <v>1.0</v>
      </c>
      <c r="F37" s="7">
        <v>4.0</v>
      </c>
      <c r="G37" s="8">
        <v>0.5</v>
      </c>
    </row>
    <row r="38" ht="14.25" customHeight="1">
      <c r="A38" s="7" t="s">
        <v>178</v>
      </c>
      <c r="B38" s="7" t="s">
        <v>182</v>
      </c>
      <c r="C38" s="7">
        <v>2.0</v>
      </c>
      <c r="D38" s="7">
        <v>1.0</v>
      </c>
      <c r="E38" s="7">
        <v>1.0</v>
      </c>
      <c r="F38" s="7">
        <v>4.0</v>
      </c>
      <c r="G38" s="8">
        <v>0.5</v>
      </c>
    </row>
    <row r="39" ht="14.25" customHeight="1">
      <c r="A39" s="7" t="s">
        <v>184</v>
      </c>
      <c r="B39" s="7" t="s">
        <v>185</v>
      </c>
      <c r="C39" s="7">
        <v>2.0</v>
      </c>
      <c r="D39" s="7">
        <v>1.0</v>
      </c>
      <c r="E39" s="7">
        <v>0.0</v>
      </c>
      <c r="F39" s="7">
        <v>3.0</v>
      </c>
      <c r="G39" s="8">
        <v>0.666666666666667</v>
      </c>
    </row>
    <row r="40" ht="14.25" customHeight="1">
      <c r="A40" s="7" t="s">
        <v>189</v>
      </c>
      <c r="B40" s="7" t="s">
        <v>190</v>
      </c>
      <c r="C40" s="7">
        <v>2.0</v>
      </c>
      <c r="D40" s="7">
        <v>0.0</v>
      </c>
      <c r="E40" s="7">
        <v>2.0</v>
      </c>
      <c r="F40" s="7">
        <v>4.0</v>
      </c>
      <c r="G40" s="8">
        <v>0.5</v>
      </c>
    </row>
    <row r="41" ht="14.25" customHeight="1">
      <c r="A41" s="7" t="s">
        <v>189</v>
      </c>
      <c r="B41" s="7" t="s">
        <v>191</v>
      </c>
      <c r="C41" s="7">
        <v>2.0</v>
      </c>
      <c r="D41" s="7">
        <v>0.0</v>
      </c>
      <c r="E41" s="7">
        <v>2.0</v>
      </c>
      <c r="F41" s="7">
        <v>4.0</v>
      </c>
      <c r="G41" s="8">
        <v>0.5</v>
      </c>
    </row>
    <row r="42" ht="14.25" customHeight="1">
      <c r="A42" s="7" t="s">
        <v>194</v>
      </c>
      <c r="B42" s="7" t="s">
        <v>195</v>
      </c>
      <c r="C42" s="7">
        <v>2.0</v>
      </c>
      <c r="D42" s="7">
        <v>0.0</v>
      </c>
      <c r="E42" s="7">
        <v>1.0</v>
      </c>
      <c r="F42" s="7">
        <v>3.0</v>
      </c>
      <c r="G42" s="8">
        <v>0.666666666666667</v>
      </c>
    </row>
    <row r="43" ht="14.25" customHeight="1">
      <c r="A43" s="7" t="s">
        <v>197</v>
      </c>
      <c r="B43" s="7" t="s">
        <v>198</v>
      </c>
      <c r="C43" s="7">
        <v>2.0</v>
      </c>
      <c r="D43" s="7">
        <v>0.0</v>
      </c>
      <c r="E43" s="7">
        <v>0.0</v>
      </c>
      <c r="F43" s="7">
        <v>2.0</v>
      </c>
      <c r="G43" s="8">
        <v>1.0</v>
      </c>
    </row>
    <row r="44" ht="14.25" customHeight="1">
      <c r="A44" s="7" t="s">
        <v>197</v>
      </c>
      <c r="B44" s="7" t="s">
        <v>199</v>
      </c>
      <c r="C44" s="7">
        <v>2.0</v>
      </c>
      <c r="D44" s="7">
        <v>0.0</v>
      </c>
      <c r="E44" s="7">
        <v>0.0</v>
      </c>
      <c r="F44" s="7">
        <v>2.0</v>
      </c>
      <c r="G44" s="8">
        <v>1.0</v>
      </c>
    </row>
    <row r="45" ht="14.25" customHeight="1">
      <c r="A45" s="7" t="s">
        <v>203</v>
      </c>
      <c r="B45" s="7" t="s">
        <v>204</v>
      </c>
      <c r="C45" s="7">
        <v>1.0</v>
      </c>
      <c r="D45" s="7">
        <v>6.0</v>
      </c>
      <c r="E45" s="7">
        <v>12.0</v>
      </c>
      <c r="F45" s="7">
        <v>19.0</v>
      </c>
      <c r="G45" s="8">
        <v>0.0526315789473684</v>
      </c>
    </row>
    <row r="46" ht="14.25" customHeight="1">
      <c r="A46" s="7" t="s">
        <v>205</v>
      </c>
      <c r="B46" s="7" t="s">
        <v>206</v>
      </c>
      <c r="C46" s="7">
        <v>1.0</v>
      </c>
      <c r="D46" s="7">
        <v>3.0</v>
      </c>
      <c r="E46" s="7">
        <v>3.0</v>
      </c>
      <c r="F46" s="7">
        <v>7.0</v>
      </c>
      <c r="G46" s="8">
        <v>0.142857142857143</v>
      </c>
    </row>
    <row r="47" ht="14.25" customHeight="1">
      <c r="A47" s="7" t="s">
        <v>208</v>
      </c>
      <c r="B47" s="7" t="s">
        <v>210</v>
      </c>
      <c r="C47" s="7">
        <v>1.0</v>
      </c>
      <c r="D47" s="7">
        <v>3.0</v>
      </c>
      <c r="E47" s="7">
        <v>0.0</v>
      </c>
      <c r="F47" s="7">
        <v>4.0</v>
      </c>
      <c r="G47" s="8">
        <v>0.25</v>
      </c>
    </row>
    <row r="48" ht="14.25" customHeight="1">
      <c r="A48" s="7" t="s">
        <v>208</v>
      </c>
      <c r="B48" s="7" t="s">
        <v>213</v>
      </c>
      <c r="C48" s="7">
        <v>1.0</v>
      </c>
      <c r="D48" s="7">
        <v>3.0</v>
      </c>
      <c r="E48" s="7">
        <v>0.0</v>
      </c>
      <c r="F48" s="7">
        <v>4.0</v>
      </c>
      <c r="G48" s="8">
        <v>0.25</v>
      </c>
    </row>
    <row r="49" ht="14.25" customHeight="1">
      <c r="A49" s="7" t="s">
        <v>214</v>
      </c>
      <c r="B49" s="7" t="s">
        <v>216</v>
      </c>
      <c r="C49" s="7">
        <v>1.0</v>
      </c>
      <c r="D49" s="7">
        <v>2.0</v>
      </c>
      <c r="E49" s="7">
        <v>4.0</v>
      </c>
      <c r="F49" s="7">
        <v>7.0</v>
      </c>
      <c r="G49" s="8">
        <v>0.142857142857143</v>
      </c>
    </row>
    <row r="50" ht="14.25" customHeight="1">
      <c r="A50" s="7" t="s">
        <v>219</v>
      </c>
      <c r="B50" s="7" t="s">
        <v>220</v>
      </c>
      <c r="C50" s="7">
        <v>1.0</v>
      </c>
      <c r="D50" s="7">
        <v>2.0</v>
      </c>
      <c r="E50" s="7">
        <v>3.0</v>
      </c>
      <c r="F50" s="7">
        <v>6.0</v>
      </c>
      <c r="G50" s="8">
        <v>0.166666666666667</v>
      </c>
    </row>
    <row r="51" ht="14.25" customHeight="1">
      <c r="A51" s="7" t="s">
        <v>222</v>
      </c>
      <c r="B51" s="7" t="s">
        <v>224</v>
      </c>
      <c r="C51" s="7">
        <v>1.0</v>
      </c>
      <c r="D51" s="7">
        <v>2.0</v>
      </c>
      <c r="E51" s="7">
        <v>1.0</v>
      </c>
      <c r="F51" s="7">
        <v>4.0</v>
      </c>
      <c r="G51" s="8">
        <v>0.25</v>
      </c>
    </row>
    <row r="52" ht="14.25" customHeight="1">
      <c r="A52" s="7" t="s">
        <v>222</v>
      </c>
      <c r="B52" s="7" t="s">
        <v>226</v>
      </c>
      <c r="C52" s="7">
        <v>1.0</v>
      </c>
      <c r="D52" s="7">
        <v>2.0</v>
      </c>
      <c r="E52" s="7">
        <v>1.0</v>
      </c>
      <c r="F52" s="7">
        <v>4.0</v>
      </c>
      <c r="G52" s="8">
        <v>0.25</v>
      </c>
    </row>
    <row r="53" ht="14.25" customHeight="1">
      <c r="A53" s="7" t="s">
        <v>228</v>
      </c>
      <c r="B53" s="7" t="s">
        <v>230</v>
      </c>
      <c r="C53" s="7">
        <v>1.0</v>
      </c>
      <c r="D53" s="7">
        <v>2.0</v>
      </c>
      <c r="E53" s="7">
        <v>0.0</v>
      </c>
      <c r="F53" s="7">
        <v>3.0</v>
      </c>
      <c r="G53" s="8">
        <v>0.333333333333333</v>
      </c>
    </row>
    <row r="54" ht="14.25" customHeight="1">
      <c r="A54" s="7" t="s">
        <v>232</v>
      </c>
      <c r="B54" s="7" t="s">
        <v>233</v>
      </c>
      <c r="C54" s="7">
        <v>1.0</v>
      </c>
      <c r="D54" s="7">
        <v>1.0</v>
      </c>
      <c r="E54" s="7">
        <v>5.0</v>
      </c>
      <c r="F54" s="7">
        <v>7.0</v>
      </c>
      <c r="G54" s="8">
        <v>0.142857142857143</v>
      </c>
    </row>
    <row r="55" ht="14.25" customHeight="1">
      <c r="A55" s="7" t="s">
        <v>234</v>
      </c>
      <c r="B55" s="7" t="s">
        <v>235</v>
      </c>
      <c r="C55" s="7">
        <v>1.0</v>
      </c>
      <c r="D55" s="7">
        <v>1.0</v>
      </c>
      <c r="E55" s="7">
        <v>4.0</v>
      </c>
      <c r="F55" s="7">
        <v>6.0</v>
      </c>
      <c r="G55" s="8">
        <v>0.166666666666667</v>
      </c>
    </row>
    <row r="56" ht="14.25" customHeight="1">
      <c r="A56" s="7" t="s">
        <v>239</v>
      </c>
      <c r="B56" s="7" t="s">
        <v>240</v>
      </c>
      <c r="C56" s="7">
        <v>1.0</v>
      </c>
      <c r="D56" s="7">
        <v>1.0</v>
      </c>
      <c r="E56" s="7">
        <v>3.0</v>
      </c>
      <c r="F56" s="7">
        <v>5.0</v>
      </c>
      <c r="G56" s="8">
        <v>0.2</v>
      </c>
    </row>
    <row r="57" ht="14.25" customHeight="1">
      <c r="A57" s="7" t="s">
        <v>241</v>
      </c>
      <c r="B57" s="7" t="s">
        <v>242</v>
      </c>
      <c r="C57" s="7">
        <v>1.0</v>
      </c>
      <c r="D57" s="7">
        <v>1.0</v>
      </c>
      <c r="E57" s="7">
        <v>2.0</v>
      </c>
      <c r="F57" s="7">
        <v>4.0</v>
      </c>
      <c r="G57" s="8">
        <v>0.25</v>
      </c>
    </row>
    <row r="58" ht="14.25" customHeight="1">
      <c r="A58" s="7" t="s">
        <v>241</v>
      </c>
      <c r="B58" s="7" t="s">
        <v>246</v>
      </c>
      <c r="C58" s="7">
        <v>1.0</v>
      </c>
      <c r="D58" s="7">
        <v>1.0</v>
      </c>
      <c r="E58" s="7">
        <v>2.0</v>
      </c>
      <c r="F58" s="7">
        <v>4.0</v>
      </c>
      <c r="G58" s="8">
        <v>0.25</v>
      </c>
    </row>
    <row r="59" ht="14.25" customHeight="1">
      <c r="A59" s="7" t="s">
        <v>247</v>
      </c>
      <c r="B59" s="7" t="s">
        <v>248</v>
      </c>
      <c r="C59" s="7">
        <v>1.0</v>
      </c>
      <c r="D59" s="7">
        <v>1.0</v>
      </c>
      <c r="E59" s="7">
        <v>0.0</v>
      </c>
      <c r="F59" s="7">
        <v>2.0</v>
      </c>
      <c r="G59" s="8">
        <v>0.5</v>
      </c>
    </row>
    <row r="60" ht="14.25" customHeight="1">
      <c r="A60" s="7" t="s">
        <v>249</v>
      </c>
      <c r="B60" s="7" t="s">
        <v>250</v>
      </c>
      <c r="C60" s="7">
        <v>1.0</v>
      </c>
      <c r="D60" s="7">
        <v>0.0</v>
      </c>
      <c r="E60" s="7">
        <v>1.0</v>
      </c>
      <c r="F60" s="7">
        <v>2.0</v>
      </c>
      <c r="G60" s="8">
        <v>0.5</v>
      </c>
    </row>
    <row r="61" ht="14.25" customHeight="1">
      <c r="A61" s="7" t="s">
        <v>249</v>
      </c>
      <c r="B61" s="7" t="s">
        <v>255</v>
      </c>
      <c r="C61" s="7">
        <v>1.0</v>
      </c>
      <c r="D61" s="7">
        <v>0.0</v>
      </c>
      <c r="E61" s="7">
        <v>1.0</v>
      </c>
      <c r="F61" s="7">
        <v>2.0</v>
      </c>
      <c r="G61" s="8">
        <v>0.5</v>
      </c>
    </row>
    <row r="62" ht="14.25" customHeight="1">
      <c r="A62" s="7" t="s">
        <v>249</v>
      </c>
      <c r="B62" s="7" t="s">
        <v>256</v>
      </c>
      <c r="C62" s="7">
        <v>1.0</v>
      </c>
      <c r="D62" s="7">
        <v>0.0</v>
      </c>
      <c r="E62" s="7">
        <v>1.0</v>
      </c>
      <c r="F62" s="7">
        <v>2.0</v>
      </c>
      <c r="G62" s="8">
        <v>0.5</v>
      </c>
    </row>
    <row r="63" ht="14.25" customHeight="1">
      <c r="A63" s="7" t="s">
        <v>249</v>
      </c>
      <c r="B63" s="7" t="s">
        <v>260</v>
      </c>
      <c r="C63" s="7">
        <v>1.0</v>
      </c>
      <c r="D63" s="7">
        <v>0.0</v>
      </c>
      <c r="E63" s="7">
        <v>1.0</v>
      </c>
      <c r="F63" s="7">
        <v>2.0</v>
      </c>
      <c r="G63" s="8">
        <v>0.5</v>
      </c>
    </row>
    <row r="64" ht="14.25" customHeight="1">
      <c r="A64" s="7" t="s">
        <v>262</v>
      </c>
      <c r="B64" s="7" t="s">
        <v>264</v>
      </c>
      <c r="C64" s="7">
        <v>1.0</v>
      </c>
      <c r="D64" s="7">
        <v>0.0</v>
      </c>
      <c r="E64" s="7">
        <v>0.0</v>
      </c>
      <c r="F64" s="7">
        <v>1.0</v>
      </c>
      <c r="G64" s="8">
        <v>1.0</v>
      </c>
    </row>
    <row r="65" ht="14.25" customHeight="1">
      <c r="A65" s="7" t="s">
        <v>262</v>
      </c>
      <c r="B65" s="7" t="s">
        <v>267</v>
      </c>
      <c r="C65" s="7">
        <v>1.0</v>
      </c>
      <c r="D65" s="7">
        <v>0.0</v>
      </c>
      <c r="E65" s="7">
        <v>0.0</v>
      </c>
      <c r="F65" s="7">
        <v>1.0</v>
      </c>
      <c r="G65" s="8">
        <v>1.0</v>
      </c>
    </row>
    <row r="66" ht="14.25" customHeight="1">
      <c r="A66" s="7" t="s">
        <v>262</v>
      </c>
      <c r="B66" s="7" t="s">
        <v>271</v>
      </c>
      <c r="C66" s="7">
        <v>1.0</v>
      </c>
      <c r="D66" s="7">
        <v>0.0</v>
      </c>
      <c r="E66" s="7">
        <v>0.0</v>
      </c>
      <c r="F66" s="7">
        <v>1.0</v>
      </c>
      <c r="G66" s="8">
        <v>1.0</v>
      </c>
    </row>
    <row r="67" ht="14.25" customHeight="1">
      <c r="A67" s="7" t="s">
        <v>274</v>
      </c>
      <c r="B67" s="7" t="s">
        <v>276</v>
      </c>
      <c r="C67" s="7">
        <v>0.0</v>
      </c>
      <c r="D67" s="7">
        <v>4.0</v>
      </c>
      <c r="E67" s="7">
        <v>1.0</v>
      </c>
      <c r="F67" s="7">
        <v>5.0</v>
      </c>
      <c r="G67" s="8">
        <v>0.0</v>
      </c>
    </row>
    <row r="68" ht="14.25" customHeight="1">
      <c r="A68" s="7" t="s">
        <v>277</v>
      </c>
      <c r="B68" s="7" t="s">
        <v>278</v>
      </c>
      <c r="C68" s="7">
        <v>0.0</v>
      </c>
      <c r="D68" s="7">
        <v>3.0</v>
      </c>
      <c r="E68" s="7">
        <v>4.0</v>
      </c>
      <c r="F68" s="7">
        <v>7.0</v>
      </c>
      <c r="G68" s="8">
        <v>0.0</v>
      </c>
    </row>
    <row r="69" ht="14.25" customHeight="1">
      <c r="A69" s="7" t="s">
        <v>282</v>
      </c>
      <c r="B69" s="7" t="s">
        <v>283</v>
      </c>
      <c r="C69" s="7">
        <v>0.0</v>
      </c>
      <c r="D69" s="7">
        <v>3.0</v>
      </c>
      <c r="E69" s="7">
        <v>2.0</v>
      </c>
      <c r="F69" s="7">
        <v>5.0</v>
      </c>
      <c r="G69" s="8">
        <v>0.0</v>
      </c>
    </row>
    <row r="70" ht="14.25" customHeight="1">
      <c r="A70" s="7" t="s">
        <v>285</v>
      </c>
      <c r="B70" s="7" t="s">
        <v>287</v>
      </c>
      <c r="C70" s="7">
        <v>0.0</v>
      </c>
      <c r="D70" s="7">
        <v>2.0</v>
      </c>
      <c r="E70" s="7">
        <v>2.0</v>
      </c>
      <c r="F70" s="7">
        <v>4.0</v>
      </c>
      <c r="G70" s="8">
        <v>0.0</v>
      </c>
    </row>
    <row r="71" ht="14.25" customHeight="1">
      <c r="A71" s="7" t="s">
        <v>289</v>
      </c>
      <c r="B71" s="7" t="s">
        <v>290</v>
      </c>
      <c r="C71" s="7">
        <v>0.0</v>
      </c>
      <c r="D71" s="7">
        <v>2.0</v>
      </c>
      <c r="E71" s="7">
        <v>1.0</v>
      </c>
      <c r="F71" s="7">
        <v>3.0</v>
      </c>
      <c r="G71" s="8">
        <v>0.0</v>
      </c>
    </row>
    <row r="72" ht="14.25" customHeight="1">
      <c r="A72" s="7" t="s">
        <v>293</v>
      </c>
      <c r="B72" s="7" t="s">
        <v>295</v>
      </c>
      <c r="C72" s="7">
        <v>0.0</v>
      </c>
      <c r="D72" s="7">
        <v>1.0</v>
      </c>
      <c r="E72" s="7">
        <v>3.0</v>
      </c>
      <c r="F72" s="7">
        <v>4.0</v>
      </c>
      <c r="G72" s="8">
        <v>0.0</v>
      </c>
    </row>
    <row r="73" ht="14.25" customHeight="1">
      <c r="A73" s="7" t="s">
        <v>296</v>
      </c>
      <c r="B73" s="7" t="s">
        <v>297</v>
      </c>
      <c r="C73" s="7">
        <v>0.0</v>
      </c>
      <c r="D73" s="7">
        <v>1.0</v>
      </c>
      <c r="E73" s="7">
        <v>2.0</v>
      </c>
      <c r="F73" s="7">
        <v>3.0</v>
      </c>
      <c r="G73" s="8">
        <v>0.0</v>
      </c>
    </row>
    <row r="74" ht="14.25" customHeight="1">
      <c r="A74" s="7" t="s">
        <v>296</v>
      </c>
      <c r="B74" s="7" t="s">
        <v>300</v>
      </c>
      <c r="C74" s="7">
        <v>0.0</v>
      </c>
      <c r="D74" s="7">
        <v>1.0</v>
      </c>
      <c r="E74" s="7">
        <v>2.0</v>
      </c>
      <c r="F74" s="7">
        <v>3.0</v>
      </c>
      <c r="G74" s="8">
        <v>0.0</v>
      </c>
    </row>
    <row r="75" ht="14.25" customHeight="1">
      <c r="A75" s="7" t="s">
        <v>302</v>
      </c>
      <c r="B75" s="7" t="s">
        <v>303</v>
      </c>
      <c r="C75" s="7">
        <v>0.0</v>
      </c>
      <c r="D75" s="7">
        <v>1.0</v>
      </c>
      <c r="E75" s="7">
        <v>1.0</v>
      </c>
      <c r="F75" s="7">
        <v>2.0</v>
      </c>
      <c r="G75" s="8">
        <v>0.0</v>
      </c>
    </row>
    <row r="76" ht="14.25" customHeight="1">
      <c r="A76" s="7" t="s">
        <v>302</v>
      </c>
      <c r="B76" s="7" t="s">
        <v>306</v>
      </c>
      <c r="C76" s="7">
        <v>0.0</v>
      </c>
      <c r="D76" s="7">
        <v>1.0</v>
      </c>
      <c r="E76" s="7">
        <v>1.0</v>
      </c>
      <c r="F76" s="7">
        <v>2.0</v>
      </c>
      <c r="G76" s="8">
        <v>0.0</v>
      </c>
    </row>
    <row r="77" ht="14.25" customHeight="1">
      <c r="A77" s="7" t="s">
        <v>302</v>
      </c>
      <c r="B77" s="7" t="s">
        <v>308</v>
      </c>
      <c r="C77" s="7">
        <v>0.0</v>
      </c>
      <c r="D77" s="7">
        <v>1.0</v>
      </c>
      <c r="E77" s="7">
        <v>1.0</v>
      </c>
      <c r="F77" s="7">
        <v>2.0</v>
      </c>
      <c r="G77" s="8">
        <v>0.0</v>
      </c>
    </row>
    <row r="78" ht="14.25" customHeight="1">
      <c r="A78" s="7" t="s">
        <v>309</v>
      </c>
      <c r="B78" s="7" t="s">
        <v>311</v>
      </c>
      <c r="C78" s="7">
        <v>0.0</v>
      </c>
      <c r="D78" s="7">
        <v>1.0</v>
      </c>
      <c r="E78" s="7">
        <v>0.0</v>
      </c>
      <c r="F78" s="7">
        <v>1.0</v>
      </c>
      <c r="G78" s="8">
        <v>0.0</v>
      </c>
    </row>
    <row r="79" ht="14.25" customHeight="1">
      <c r="A79" s="7" t="s">
        <v>309</v>
      </c>
      <c r="B79" s="7" t="s">
        <v>314</v>
      </c>
      <c r="C79" s="7">
        <v>0.0</v>
      </c>
      <c r="D79" s="7">
        <v>1.0</v>
      </c>
      <c r="E79" s="7">
        <v>0.0</v>
      </c>
      <c r="F79" s="7">
        <v>1.0</v>
      </c>
      <c r="G79" s="8">
        <v>0.0</v>
      </c>
    </row>
    <row r="80" ht="14.25" customHeight="1">
      <c r="A80" s="7" t="s">
        <v>309</v>
      </c>
      <c r="B80" s="7" t="s">
        <v>315</v>
      </c>
      <c r="C80" s="7">
        <v>0.0</v>
      </c>
      <c r="D80" s="7">
        <v>1.0</v>
      </c>
      <c r="E80" s="7">
        <v>0.0</v>
      </c>
      <c r="F80" s="7">
        <v>1.0</v>
      </c>
      <c r="G80" s="8">
        <v>0.0</v>
      </c>
    </row>
    <row r="81" ht="14.25" customHeight="1">
      <c r="A81" s="7" t="s">
        <v>309</v>
      </c>
      <c r="B81" s="7" t="s">
        <v>316</v>
      </c>
      <c r="C81" s="7">
        <v>0.0</v>
      </c>
      <c r="D81" s="7">
        <v>1.0</v>
      </c>
      <c r="E81" s="7">
        <v>0.0</v>
      </c>
      <c r="F81" s="7">
        <v>1.0</v>
      </c>
      <c r="G81" s="8">
        <v>0.0</v>
      </c>
    </row>
    <row r="82" ht="14.25" customHeight="1">
      <c r="A82" s="7" t="s">
        <v>309</v>
      </c>
      <c r="B82" s="7" t="s">
        <v>319</v>
      </c>
      <c r="C82" s="7">
        <v>0.0</v>
      </c>
      <c r="D82" s="7">
        <v>1.0</v>
      </c>
      <c r="E82" s="7">
        <v>0.0</v>
      </c>
      <c r="F82" s="7">
        <v>1.0</v>
      </c>
      <c r="G82" s="8">
        <v>0.0</v>
      </c>
    </row>
    <row r="83" ht="14.25" customHeight="1">
      <c r="A83" s="7" t="s">
        <v>309</v>
      </c>
      <c r="B83" s="7" t="s">
        <v>321</v>
      </c>
      <c r="C83" s="7">
        <v>0.0</v>
      </c>
      <c r="D83" s="7">
        <v>1.0</v>
      </c>
      <c r="E83" s="7">
        <v>0.0</v>
      </c>
      <c r="F83" s="7">
        <v>1.0</v>
      </c>
      <c r="G83" s="8">
        <v>0.0</v>
      </c>
    </row>
    <row r="84" ht="14.25" customHeight="1">
      <c r="A84" s="7" t="s">
        <v>322</v>
      </c>
      <c r="B84" s="7" t="s">
        <v>324</v>
      </c>
      <c r="C84" s="7">
        <v>0.0</v>
      </c>
      <c r="D84" s="7">
        <v>0.0</v>
      </c>
      <c r="E84" s="7">
        <v>8.0</v>
      </c>
      <c r="F84" s="7">
        <v>8.0</v>
      </c>
      <c r="G84" s="8">
        <v>0.0</v>
      </c>
    </row>
    <row r="85" ht="14.25" customHeight="1">
      <c r="A85" s="7" t="s">
        <v>327</v>
      </c>
      <c r="B85" s="7" t="s">
        <v>328</v>
      </c>
      <c r="C85" s="7">
        <v>0.0</v>
      </c>
      <c r="D85" s="7">
        <v>0.0</v>
      </c>
      <c r="E85" s="7">
        <v>4.0</v>
      </c>
      <c r="F85" s="7">
        <v>4.0</v>
      </c>
      <c r="G85" s="8">
        <v>0.0</v>
      </c>
    </row>
    <row r="86" ht="14.25" customHeight="1">
      <c r="A86" s="7" t="s">
        <v>329</v>
      </c>
      <c r="B86" s="7" t="s">
        <v>330</v>
      </c>
      <c r="C86" s="7">
        <v>0.0</v>
      </c>
      <c r="D86" s="7">
        <v>0.0</v>
      </c>
      <c r="E86" s="7">
        <v>2.0</v>
      </c>
      <c r="F86" s="7">
        <v>2.0</v>
      </c>
      <c r="G86" s="8">
        <v>0.0</v>
      </c>
    </row>
    <row r="87" ht="14.25" customHeight="1">
      <c r="A87" s="7" t="s">
        <v>334</v>
      </c>
      <c r="B87" s="7" t="s">
        <v>335</v>
      </c>
      <c r="C87" s="7">
        <v>0.0</v>
      </c>
      <c r="D87" s="7">
        <v>0.0</v>
      </c>
      <c r="E87" s="7">
        <v>1.0</v>
      </c>
      <c r="F87" s="7">
        <v>1.0</v>
      </c>
      <c r="G87" s="8">
        <v>0.0</v>
      </c>
    </row>
    <row r="88" ht="14.25" customHeight="1">
      <c r="A88" s="7" t="s">
        <v>334</v>
      </c>
      <c r="B88" s="7" t="s">
        <v>336</v>
      </c>
      <c r="C88" s="7">
        <v>0.0</v>
      </c>
      <c r="D88" s="7">
        <v>0.0</v>
      </c>
      <c r="E88" s="7">
        <v>1.0</v>
      </c>
      <c r="F88" s="7">
        <v>1.0</v>
      </c>
      <c r="G88" s="8">
        <v>0.0</v>
      </c>
    </row>
    <row r="89" ht="14.25" customHeight="1">
      <c r="A89" s="7" t="s">
        <v>334</v>
      </c>
      <c r="B89" s="7" t="s">
        <v>338</v>
      </c>
      <c r="C89" s="7">
        <v>0.0</v>
      </c>
      <c r="D89" s="7">
        <v>0.0</v>
      </c>
      <c r="E89" s="7">
        <v>1.0</v>
      </c>
      <c r="F89" s="7">
        <v>1.0</v>
      </c>
      <c r="G89" s="8">
        <v>0.0</v>
      </c>
    </row>
    <row r="90" ht="14.25" customHeight="1">
      <c r="A90" s="7" t="s">
        <v>334</v>
      </c>
      <c r="B90" s="7" t="s">
        <v>341</v>
      </c>
      <c r="C90" s="7">
        <v>0.0</v>
      </c>
      <c r="D90" s="7">
        <v>0.0</v>
      </c>
      <c r="E90" s="7">
        <v>1.0</v>
      </c>
      <c r="F90" s="7">
        <v>1.0</v>
      </c>
      <c r="G90" s="8">
        <v>0.0</v>
      </c>
    </row>
    <row r="91" ht="14.25" customHeight="1">
      <c r="A91" s="7" t="s">
        <v>334</v>
      </c>
      <c r="B91" s="7" t="s">
        <v>342</v>
      </c>
      <c r="C91" s="7">
        <v>0.0</v>
      </c>
      <c r="D91" s="7">
        <v>0.0</v>
      </c>
      <c r="E91" s="7">
        <v>1.0</v>
      </c>
      <c r="F91" s="7">
        <v>1.0</v>
      </c>
      <c r="G91" s="8">
        <v>0.0</v>
      </c>
    </row>
    <row r="92" ht="14.25" customHeight="1">
      <c r="A92" s="7" t="s">
        <v>334</v>
      </c>
      <c r="B92" s="7" t="s">
        <v>346</v>
      </c>
      <c r="C92" s="7">
        <v>0.0</v>
      </c>
      <c r="D92" s="7">
        <v>0.0</v>
      </c>
      <c r="E92" s="7">
        <v>1.0</v>
      </c>
      <c r="F92" s="7">
        <v>1.0</v>
      </c>
      <c r="G92" s="8">
        <v>0.0</v>
      </c>
    </row>
    <row r="93" ht="14.25" customHeight="1">
      <c r="A93" s="7" t="s">
        <v>334</v>
      </c>
      <c r="B93" s="7" t="s">
        <v>347</v>
      </c>
      <c r="C93" s="7">
        <v>0.0</v>
      </c>
      <c r="D93" s="7">
        <v>0.0</v>
      </c>
      <c r="E93" s="7">
        <v>1.0</v>
      </c>
      <c r="F93" s="7">
        <v>1.0</v>
      </c>
      <c r="G93" s="8">
        <v>0.0</v>
      </c>
    </row>
    <row r="94" ht="14.25" customHeight="1">
      <c r="A94" s="7" t="s">
        <v>334</v>
      </c>
      <c r="B94" s="7" t="s">
        <v>348</v>
      </c>
      <c r="C94" s="7">
        <v>0.0</v>
      </c>
      <c r="D94" s="7">
        <v>0.0</v>
      </c>
      <c r="E94" s="7">
        <v>1.0</v>
      </c>
      <c r="F94" s="7">
        <v>1.0</v>
      </c>
      <c r="G94" s="8">
        <v>0.0</v>
      </c>
    </row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ustomSheetViews>
    <customSheetView guid="{ECD5A9E3-7531-46D6-8D02-004E9B21392B}" filter="1" showAutoFilter="1">
      <autoFilter ref="$A$1:$G$94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43"/>
    <col customWidth="1" min="2" max="2" width="13.86"/>
    <col customWidth="1" min="3" max="3" width="14.86"/>
    <col customWidth="1" min="4" max="4" width="13.71"/>
    <col customWidth="1" min="5" max="5" width="25.86"/>
    <col customWidth="1" min="6" max="6" width="10.0"/>
    <col customWidth="1" min="7" max="7" width="15.0"/>
    <col customWidth="1" min="8" max="8" width="12.0"/>
    <col customWidth="1" min="9" max="9" width="6.29"/>
    <col customWidth="1" min="10" max="10" width="16.71"/>
    <col customWidth="1" min="11" max="11" width="23.86"/>
    <col customWidth="1" min="12" max="12" width="12.0"/>
    <col customWidth="1" min="13" max="13" width="12.86"/>
    <col customWidth="1" min="14" max="26" width="8.71"/>
  </cols>
  <sheetData>
    <row r="1" ht="14.25" customHeight="1">
      <c r="A1" s="6" t="s">
        <v>6</v>
      </c>
      <c r="B1" s="6" t="s">
        <v>8</v>
      </c>
      <c r="C1" s="6" t="s">
        <v>10</v>
      </c>
      <c r="D1" s="6" t="s">
        <v>12</v>
      </c>
      <c r="E1" s="6" t="s">
        <v>14</v>
      </c>
      <c r="F1" s="6" t="s">
        <v>16</v>
      </c>
      <c r="G1" s="6" t="s">
        <v>17</v>
      </c>
      <c r="H1" s="6" t="s">
        <v>19</v>
      </c>
      <c r="I1" s="6" t="s">
        <v>20</v>
      </c>
      <c r="J1" s="6" t="s">
        <v>22</v>
      </c>
      <c r="K1" s="6" t="s">
        <v>23</v>
      </c>
      <c r="L1" s="6" t="s">
        <v>25</v>
      </c>
      <c r="M1" s="6" t="s">
        <v>26</v>
      </c>
    </row>
    <row r="2" ht="14.25" customHeight="1">
      <c r="A2" s="7" t="s">
        <v>27</v>
      </c>
      <c r="B2" s="7" t="s">
        <v>28</v>
      </c>
      <c r="C2" s="7" t="s">
        <v>29</v>
      </c>
      <c r="D2" s="7" t="s">
        <v>30</v>
      </c>
      <c r="E2" s="7" t="s">
        <v>31</v>
      </c>
      <c r="F2" s="7">
        <v>120000.0</v>
      </c>
      <c r="G2" s="7" t="s">
        <v>32</v>
      </c>
      <c r="H2" s="9">
        <v>43416.0</v>
      </c>
      <c r="I2" s="7">
        <v>1.0</v>
      </c>
      <c r="J2" s="7" t="s">
        <v>35</v>
      </c>
      <c r="K2" s="7" t="s">
        <v>36</v>
      </c>
      <c r="L2" s="7">
        <v>5.610958904109589</v>
      </c>
      <c r="M2" s="7" t="s">
        <v>39</v>
      </c>
    </row>
    <row r="3" ht="14.25" customHeight="1">
      <c r="A3" s="7" t="s">
        <v>41</v>
      </c>
      <c r="B3" s="7" t="s">
        <v>43</v>
      </c>
      <c r="C3" s="7" t="s">
        <v>44</v>
      </c>
      <c r="D3" s="7" t="s">
        <v>45</v>
      </c>
      <c r="E3" s="7" t="s">
        <v>46</v>
      </c>
      <c r="F3" s="7">
        <v>98000.0</v>
      </c>
      <c r="G3" s="7" t="s">
        <v>47</v>
      </c>
      <c r="H3" s="9">
        <v>43710.0</v>
      </c>
      <c r="I3" s="7">
        <v>0.9</v>
      </c>
      <c r="J3" s="7" t="s">
        <v>35</v>
      </c>
      <c r="K3" s="7" t="s">
        <v>50</v>
      </c>
      <c r="L3" s="7">
        <v>4.8054794520547945</v>
      </c>
      <c r="M3" s="7" t="s">
        <v>51</v>
      </c>
    </row>
    <row r="4" ht="14.25" customHeight="1">
      <c r="A4" s="7" t="s">
        <v>53</v>
      </c>
      <c r="B4" s="7" t="s">
        <v>55</v>
      </c>
      <c r="C4" s="7" t="s">
        <v>56</v>
      </c>
      <c r="D4" s="7" t="s">
        <v>45</v>
      </c>
      <c r="E4" s="7" t="s">
        <v>57</v>
      </c>
      <c r="F4" s="7">
        <v>120000.0</v>
      </c>
      <c r="G4" s="7" t="s">
        <v>32</v>
      </c>
      <c r="H4" s="9">
        <v>43902.0</v>
      </c>
      <c r="I4" s="7">
        <v>0.9</v>
      </c>
      <c r="J4" s="7" t="s">
        <v>35</v>
      </c>
      <c r="K4" s="7" t="s">
        <v>36</v>
      </c>
      <c r="L4" s="7">
        <v>4.279452054794521</v>
      </c>
      <c r="M4" s="7" t="s">
        <v>51</v>
      </c>
    </row>
    <row r="5" ht="14.25" customHeight="1">
      <c r="A5" s="7" t="s">
        <v>60</v>
      </c>
      <c r="B5" s="7" t="s">
        <v>62</v>
      </c>
      <c r="C5" s="7" t="s">
        <v>64</v>
      </c>
      <c r="D5" s="7" t="s">
        <v>45</v>
      </c>
      <c r="E5" s="7" t="s">
        <v>65</v>
      </c>
      <c r="F5" s="7">
        <v>93128.34</v>
      </c>
      <c r="G5" s="7" t="s">
        <v>47</v>
      </c>
      <c r="H5" s="9">
        <v>43164.0</v>
      </c>
      <c r="I5" s="7">
        <v>1.0</v>
      </c>
      <c r="J5" s="7" t="s">
        <v>67</v>
      </c>
      <c r="K5" s="7" t="s">
        <v>50</v>
      </c>
      <c r="L5" s="7">
        <v>6.301369863013699</v>
      </c>
      <c r="M5" s="7" t="s">
        <v>39</v>
      </c>
    </row>
    <row r="6" ht="14.25" customHeight="1">
      <c r="A6" s="7" t="s">
        <v>69</v>
      </c>
      <c r="B6" s="7" t="s">
        <v>70</v>
      </c>
      <c r="C6" s="7" t="s">
        <v>71</v>
      </c>
      <c r="D6" s="7" t="s">
        <v>45</v>
      </c>
      <c r="E6" s="7" t="s">
        <v>65</v>
      </c>
      <c r="F6" s="7">
        <v>57002.02</v>
      </c>
      <c r="G6" s="7" t="s">
        <v>47</v>
      </c>
      <c r="H6" s="9">
        <v>43192.0</v>
      </c>
      <c r="I6" s="7">
        <v>0.7</v>
      </c>
      <c r="J6" s="7" t="s">
        <v>35</v>
      </c>
      <c r="K6" s="7" t="s">
        <v>74</v>
      </c>
      <c r="L6" s="7">
        <v>6.2246575342465755</v>
      </c>
      <c r="M6" s="7" t="s">
        <v>51</v>
      </c>
    </row>
    <row r="7" ht="14.25" customHeight="1">
      <c r="A7" s="7" t="s">
        <v>77</v>
      </c>
      <c r="B7" s="7" t="s">
        <v>78</v>
      </c>
      <c r="C7" s="7" t="s">
        <v>79</v>
      </c>
      <c r="D7" s="7" t="s">
        <v>30</v>
      </c>
      <c r="E7" s="7" t="s">
        <v>31</v>
      </c>
      <c r="F7" s="7">
        <v>118976.16</v>
      </c>
      <c r="G7" s="7" t="s">
        <v>32</v>
      </c>
      <c r="H7" s="9">
        <v>44120.0</v>
      </c>
      <c r="I7" s="7">
        <v>1.0</v>
      </c>
      <c r="J7" s="7" t="s">
        <v>35</v>
      </c>
      <c r="K7" s="7" t="s">
        <v>84</v>
      </c>
      <c r="L7" s="7">
        <v>3.682191780821918</v>
      </c>
      <c r="M7" s="7" t="s">
        <v>39</v>
      </c>
    </row>
    <row r="8" ht="14.25" customHeight="1">
      <c r="A8" s="7" t="s">
        <v>85</v>
      </c>
      <c r="B8" s="7" t="s">
        <v>87</v>
      </c>
      <c r="C8" s="7" t="s">
        <v>89</v>
      </c>
      <c r="D8" s="7" t="s">
        <v>90</v>
      </c>
      <c r="E8" s="7" t="s">
        <v>91</v>
      </c>
      <c r="F8" s="7">
        <v>104802.63</v>
      </c>
      <c r="G8" s="7" t="s">
        <v>32</v>
      </c>
      <c r="H8" s="9">
        <v>44502.0</v>
      </c>
      <c r="I8" s="7">
        <v>1.0</v>
      </c>
      <c r="J8" s="7" t="s">
        <v>35</v>
      </c>
      <c r="K8" s="7" t="s">
        <v>74</v>
      </c>
      <c r="L8" s="7">
        <v>2.6356164383561644</v>
      </c>
      <c r="M8" s="7" t="s">
        <v>39</v>
      </c>
    </row>
    <row r="9" ht="14.25" customHeight="1">
      <c r="A9" s="7" t="s">
        <v>97</v>
      </c>
      <c r="B9" s="7" t="s">
        <v>98</v>
      </c>
      <c r="C9" s="7" t="s">
        <v>99</v>
      </c>
      <c r="D9" s="7" t="s">
        <v>45</v>
      </c>
      <c r="E9" s="7" t="s">
        <v>103</v>
      </c>
      <c r="F9" s="7">
        <v>66017.18</v>
      </c>
      <c r="G9" s="7" t="s">
        <v>47</v>
      </c>
      <c r="H9" s="9">
        <v>43643.0</v>
      </c>
      <c r="I9" s="7">
        <v>0.9</v>
      </c>
      <c r="J9" s="7" t="s">
        <v>35</v>
      </c>
      <c r="K9" s="7" t="s">
        <v>36</v>
      </c>
      <c r="L9" s="7">
        <v>4.989041095890411</v>
      </c>
      <c r="M9" s="7" t="s">
        <v>51</v>
      </c>
    </row>
    <row r="10" ht="14.25" customHeight="1">
      <c r="A10" s="7" t="s">
        <v>110</v>
      </c>
      <c r="B10" s="7" t="s">
        <v>111</v>
      </c>
      <c r="C10" s="7" t="s">
        <v>112</v>
      </c>
      <c r="D10" s="7" t="s">
        <v>30</v>
      </c>
      <c r="E10" s="7" t="s">
        <v>115</v>
      </c>
      <c r="F10" s="7">
        <v>74279.01</v>
      </c>
      <c r="G10" s="7" t="s">
        <v>47</v>
      </c>
      <c r="H10" s="9">
        <v>43466.0</v>
      </c>
      <c r="I10" s="7">
        <v>1.0</v>
      </c>
      <c r="J10" s="7" t="s">
        <v>35</v>
      </c>
      <c r="K10" s="7" t="s">
        <v>84</v>
      </c>
      <c r="L10" s="7">
        <v>5.473972602739726</v>
      </c>
      <c r="M10" s="7" t="s">
        <v>39</v>
      </c>
    </row>
    <row r="11" ht="14.25" customHeight="1">
      <c r="A11" s="7" t="s">
        <v>118</v>
      </c>
      <c r="B11" s="7" t="s">
        <v>119</v>
      </c>
      <c r="C11" s="7" t="s">
        <v>120</v>
      </c>
      <c r="D11" s="7" t="s">
        <v>45</v>
      </c>
      <c r="E11" s="7" t="s">
        <v>46</v>
      </c>
      <c r="F11" s="7">
        <v>68980.52</v>
      </c>
      <c r="G11" s="7" t="s">
        <v>47</v>
      </c>
      <c r="H11" s="9">
        <v>43494.0</v>
      </c>
      <c r="I11" s="7">
        <v>0.8</v>
      </c>
      <c r="J11" s="7" t="s">
        <v>35</v>
      </c>
      <c r="K11" s="7" t="s">
        <v>36</v>
      </c>
      <c r="L11" s="7">
        <v>5.397260273972603</v>
      </c>
      <c r="M11" s="7" t="s">
        <v>51</v>
      </c>
    </row>
    <row r="12" ht="14.25" customHeight="1">
      <c r="A12" s="7" t="s">
        <v>125</v>
      </c>
      <c r="B12" s="7" t="s">
        <v>127</v>
      </c>
      <c r="C12" s="7" t="s">
        <v>128</v>
      </c>
      <c r="D12" s="7" t="s">
        <v>45</v>
      </c>
      <c r="E12" s="7" t="s">
        <v>57</v>
      </c>
      <c r="F12" s="7">
        <v>42314.39</v>
      </c>
      <c r="G12" s="7" t="s">
        <v>130</v>
      </c>
      <c r="H12" s="9">
        <v>44487.0</v>
      </c>
      <c r="I12" s="7">
        <v>1.0</v>
      </c>
      <c r="J12" s="7" t="s">
        <v>67</v>
      </c>
      <c r="K12" s="7" t="s">
        <v>36</v>
      </c>
      <c r="L12" s="7">
        <v>2.6767123287671235</v>
      </c>
      <c r="M12" s="7" t="s">
        <v>39</v>
      </c>
    </row>
    <row r="13" ht="14.25" customHeight="1">
      <c r="A13" s="7" t="s">
        <v>133</v>
      </c>
      <c r="B13" s="7" t="s">
        <v>134</v>
      </c>
      <c r="C13" s="7" t="s">
        <v>135</v>
      </c>
      <c r="D13" s="7" t="s">
        <v>45</v>
      </c>
      <c r="E13" s="7" t="s">
        <v>31</v>
      </c>
      <c r="F13" s="7">
        <v>114425.19</v>
      </c>
      <c r="G13" s="7" t="s">
        <v>32</v>
      </c>
      <c r="H13" s="9">
        <v>43857.0</v>
      </c>
      <c r="I13" s="7">
        <v>1.0</v>
      </c>
      <c r="J13" s="7" t="s">
        <v>35</v>
      </c>
      <c r="K13" s="7" t="s">
        <v>84</v>
      </c>
      <c r="L13" s="7">
        <v>4.402739726027397</v>
      </c>
      <c r="M13" s="7" t="s">
        <v>39</v>
      </c>
    </row>
    <row r="14" ht="14.25" customHeight="1">
      <c r="A14" s="7" t="s">
        <v>141</v>
      </c>
      <c r="B14" s="7" t="s">
        <v>143</v>
      </c>
      <c r="C14" s="7" t="s">
        <v>144</v>
      </c>
      <c r="D14" s="7" t="s">
        <v>45</v>
      </c>
      <c r="E14" s="7" t="s">
        <v>46</v>
      </c>
      <c r="F14" s="7">
        <v>69192.85</v>
      </c>
      <c r="G14" s="7" t="s">
        <v>47</v>
      </c>
      <c r="H14" s="9">
        <v>44305.0</v>
      </c>
      <c r="I14" s="7">
        <v>1.0</v>
      </c>
      <c r="J14" s="7" t="s">
        <v>35</v>
      </c>
      <c r="K14" s="7" t="s">
        <v>147</v>
      </c>
      <c r="L14" s="7">
        <v>3.175342465753425</v>
      </c>
      <c r="M14" s="7" t="s">
        <v>39</v>
      </c>
    </row>
    <row r="15" ht="14.25" customHeight="1">
      <c r="A15" s="7" t="s">
        <v>150</v>
      </c>
      <c r="B15" s="7" t="s">
        <v>151</v>
      </c>
      <c r="C15" s="7" t="s">
        <v>152</v>
      </c>
      <c r="D15" s="7" t="s">
        <v>30</v>
      </c>
      <c r="E15" s="7" t="s">
        <v>91</v>
      </c>
      <c r="F15" s="7">
        <v>61214.26</v>
      </c>
      <c r="G15" s="7" t="s">
        <v>47</v>
      </c>
      <c r="H15" s="9">
        <v>43171.0</v>
      </c>
      <c r="I15" s="7">
        <v>1.0</v>
      </c>
      <c r="J15" s="7" t="s">
        <v>156</v>
      </c>
      <c r="K15" s="7" t="s">
        <v>158</v>
      </c>
      <c r="L15" s="7">
        <v>6.282191780821917</v>
      </c>
      <c r="M15" s="7" t="s">
        <v>39</v>
      </c>
    </row>
    <row r="16" ht="14.25" customHeight="1">
      <c r="A16" s="7" t="s">
        <v>160</v>
      </c>
      <c r="B16" s="7" t="s">
        <v>161</v>
      </c>
      <c r="C16" s="7" t="s">
        <v>162</v>
      </c>
      <c r="D16" s="7" t="s">
        <v>30</v>
      </c>
      <c r="E16" s="7" t="s">
        <v>91</v>
      </c>
      <c r="F16" s="7">
        <v>54137.05</v>
      </c>
      <c r="G16" s="7" t="s">
        <v>47</v>
      </c>
      <c r="H16" s="9">
        <v>43763.0</v>
      </c>
      <c r="I16" s="7">
        <v>1.0</v>
      </c>
      <c r="J16" s="7" t="s">
        <v>35</v>
      </c>
      <c r="K16" s="7" t="s">
        <v>36</v>
      </c>
      <c r="L16" s="7">
        <v>4.66027397260274</v>
      </c>
      <c r="M16" s="7" t="s">
        <v>39</v>
      </c>
    </row>
    <row r="17" ht="14.25" customHeight="1">
      <c r="A17" s="7" t="s">
        <v>167</v>
      </c>
      <c r="B17" s="7" t="s">
        <v>168</v>
      </c>
      <c r="C17" s="7" t="s">
        <v>169</v>
      </c>
      <c r="D17" s="7" t="s">
        <v>45</v>
      </c>
      <c r="E17" s="7" t="s">
        <v>65</v>
      </c>
      <c r="F17" s="7">
        <v>37902.35</v>
      </c>
      <c r="G17" s="7" t="s">
        <v>130</v>
      </c>
      <c r="H17" s="9">
        <v>43823.0</v>
      </c>
      <c r="I17" s="7">
        <v>1.0</v>
      </c>
      <c r="J17" s="7" t="s">
        <v>35</v>
      </c>
      <c r="K17" s="7" t="s">
        <v>172</v>
      </c>
      <c r="L17" s="7">
        <v>4.495890410958904</v>
      </c>
      <c r="M17" s="7" t="s">
        <v>39</v>
      </c>
    </row>
    <row r="18" ht="14.25" customHeight="1">
      <c r="A18" s="7" t="s">
        <v>175</v>
      </c>
      <c r="B18" s="7" t="s">
        <v>176</v>
      </c>
      <c r="C18" s="7" t="s">
        <v>177</v>
      </c>
      <c r="D18" s="7" t="s">
        <v>30</v>
      </c>
      <c r="E18" s="7" t="s">
        <v>31</v>
      </c>
      <c r="F18" s="7">
        <v>39969.72</v>
      </c>
      <c r="G18" s="7" t="s">
        <v>130</v>
      </c>
      <c r="H18" s="9">
        <v>43444.0</v>
      </c>
      <c r="I18" s="7">
        <v>1.0</v>
      </c>
      <c r="J18" s="7" t="s">
        <v>156</v>
      </c>
      <c r="K18" s="7" t="s">
        <v>147</v>
      </c>
      <c r="L18" s="7">
        <v>5.534246575342466</v>
      </c>
      <c r="M18" s="7" t="s">
        <v>39</v>
      </c>
    </row>
    <row r="19" ht="14.25" customHeight="1">
      <c r="A19" s="7" t="s">
        <v>180</v>
      </c>
      <c r="B19" s="7" t="s">
        <v>181</v>
      </c>
      <c r="C19" s="7" t="s">
        <v>183</v>
      </c>
      <c r="D19" s="7" t="s">
        <v>30</v>
      </c>
      <c r="E19" s="7" t="s">
        <v>57</v>
      </c>
      <c r="F19" s="7">
        <v>69913.39</v>
      </c>
      <c r="G19" s="7" t="s">
        <v>47</v>
      </c>
      <c r="H19" s="9">
        <v>43584.0</v>
      </c>
      <c r="I19" s="7">
        <v>1.0</v>
      </c>
      <c r="J19" s="7" t="s">
        <v>35</v>
      </c>
      <c r="K19" s="7" t="s">
        <v>36</v>
      </c>
      <c r="L19" s="7">
        <v>5.1506849315068495</v>
      </c>
      <c r="M19" s="7" t="s">
        <v>39</v>
      </c>
    </row>
    <row r="20" ht="14.25" customHeight="1">
      <c r="A20" s="7" t="s">
        <v>186</v>
      </c>
      <c r="B20" s="7" t="s">
        <v>187</v>
      </c>
      <c r="C20" s="7" t="s">
        <v>188</v>
      </c>
      <c r="D20" s="7" t="s">
        <v>30</v>
      </c>
      <c r="E20" s="7" t="s">
        <v>115</v>
      </c>
      <c r="F20" s="7">
        <v>52748.63</v>
      </c>
      <c r="G20" s="7" t="s">
        <v>47</v>
      </c>
      <c r="H20" s="9">
        <v>43857.0</v>
      </c>
      <c r="I20" s="7">
        <v>1.0</v>
      </c>
      <c r="J20" s="7" t="s">
        <v>35</v>
      </c>
      <c r="K20" s="7" t="s">
        <v>172</v>
      </c>
      <c r="L20" s="7">
        <v>4.402739726027397</v>
      </c>
      <c r="M20" s="7" t="s">
        <v>39</v>
      </c>
    </row>
    <row r="21" ht="14.25" customHeight="1">
      <c r="A21" s="7" t="s">
        <v>192</v>
      </c>
      <c r="B21" s="7" t="s">
        <v>193</v>
      </c>
      <c r="C21" s="7" t="s">
        <v>196</v>
      </c>
      <c r="D21" s="7" t="s">
        <v>30</v>
      </c>
      <c r="E21" s="7" t="s">
        <v>155</v>
      </c>
      <c r="F21" s="7">
        <v>50310.09</v>
      </c>
      <c r="G21" s="7" t="s">
        <v>47</v>
      </c>
      <c r="H21" s="9">
        <v>44285.0</v>
      </c>
      <c r="I21" s="7">
        <v>0.4</v>
      </c>
      <c r="J21" s="7" t="s">
        <v>35</v>
      </c>
      <c r="K21" s="7" t="s">
        <v>74</v>
      </c>
      <c r="L21" s="7">
        <v>3.23013698630137</v>
      </c>
      <c r="M21" s="7" t="s">
        <v>51</v>
      </c>
    </row>
    <row r="22" ht="14.25" customHeight="1">
      <c r="A22" s="7" t="s">
        <v>200</v>
      </c>
      <c r="B22" s="7" t="s">
        <v>201</v>
      </c>
      <c r="C22" s="7" t="s">
        <v>202</v>
      </c>
      <c r="D22" s="7" t="s">
        <v>30</v>
      </c>
      <c r="E22" s="7" t="s">
        <v>109</v>
      </c>
      <c r="F22" s="7">
        <v>52963.65</v>
      </c>
      <c r="G22" s="7" t="s">
        <v>47</v>
      </c>
      <c r="H22" s="9">
        <v>44288.0</v>
      </c>
      <c r="I22" s="7">
        <v>0.3</v>
      </c>
      <c r="J22" s="7" t="s">
        <v>35</v>
      </c>
      <c r="K22" s="7" t="s">
        <v>147</v>
      </c>
      <c r="L22" s="7">
        <v>3.221917808219178</v>
      </c>
      <c r="M22" s="7" t="s">
        <v>51</v>
      </c>
    </row>
    <row r="23" ht="14.25" customHeight="1">
      <c r="A23" s="7" t="s">
        <v>207</v>
      </c>
      <c r="B23" s="7" t="s">
        <v>209</v>
      </c>
      <c r="C23" s="7" t="s">
        <v>211</v>
      </c>
      <c r="D23" s="7" t="s">
        <v>30</v>
      </c>
      <c r="E23" s="7" t="s">
        <v>212</v>
      </c>
      <c r="F23" s="7">
        <v>62195.47</v>
      </c>
      <c r="G23" s="7" t="s">
        <v>47</v>
      </c>
      <c r="H23" s="9">
        <v>44434.0</v>
      </c>
      <c r="I23" s="7">
        <v>1.0</v>
      </c>
      <c r="J23" s="7" t="s">
        <v>35</v>
      </c>
      <c r="K23" s="7" t="s">
        <v>36</v>
      </c>
      <c r="L23" s="7">
        <v>2.8219178082191783</v>
      </c>
      <c r="M23" s="7" t="s">
        <v>39</v>
      </c>
    </row>
    <row r="24" ht="14.25" customHeight="1">
      <c r="A24" s="7" t="s">
        <v>215</v>
      </c>
      <c r="B24" s="7" t="s">
        <v>217</v>
      </c>
      <c r="C24" s="7" t="s">
        <v>218</v>
      </c>
      <c r="D24" s="7" t="s">
        <v>30</v>
      </c>
      <c r="E24" s="7" t="s">
        <v>31</v>
      </c>
      <c r="F24" s="7">
        <v>43329.22</v>
      </c>
      <c r="G24" s="7" t="s">
        <v>130</v>
      </c>
      <c r="H24" s="9">
        <v>43809.0</v>
      </c>
      <c r="I24" s="7">
        <v>0.5</v>
      </c>
      <c r="J24" s="7" t="s">
        <v>67</v>
      </c>
      <c r="K24" s="7" t="s">
        <v>36</v>
      </c>
      <c r="L24" s="7">
        <v>4.534246575342466</v>
      </c>
      <c r="M24" s="7" t="s">
        <v>51</v>
      </c>
    </row>
    <row r="25" ht="14.25" customHeight="1">
      <c r="A25" s="7" t="s">
        <v>221</v>
      </c>
      <c r="B25" s="7" t="s">
        <v>223</v>
      </c>
      <c r="C25" s="7" t="s">
        <v>225</v>
      </c>
      <c r="D25" s="7" t="s">
        <v>45</v>
      </c>
      <c r="E25" s="7" t="s">
        <v>65</v>
      </c>
      <c r="F25" s="7">
        <v>71570.99</v>
      </c>
      <c r="G25" s="7" t="s">
        <v>47</v>
      </c>
      <c r="H25" s="9">
        <v>44249.0</v>
      </c>
      <c r="I25" s="7">
        <v>0.5</v>
      </c>
      <c r="J25" s="7" t="s">
        <v>35</v>
      </c>
      <c r="K25" s="7" t="s">
        <v>74</v>
      </c>
      <c r="L25" s="7">
        <v>3.328767123287671</v>
      </c>
      <c r="M25" s="7" t="s">
        <v>51</v>
      </c>
    </row>
    <row r="26" ht="14.25" customHeight="1">
      <c r="A26" s="7" t="s">
        <v>227</v>
      </c>
      <c r="B26" s="7" t="s">
        <v>229</v>
      </c>
      <c r="C26" s="7" t="s">
        <v>231</v>
      </c>
      <c r="D26" s="7" t="s">
        <v>90</v>
      </c>
      <c r="E26" s="7" t="s">
        <v>65</v>
      </c>
      <c r="F26" s="7">
        <v>78840.23</v>
      </c>
      <c r="G26" s="7" t="s">
        <v>47</v>
      </c>
      <c r="H26" s="9">
        <v>43633.0</v>
      </c>
      <c r="I26" s="7">
        <v>1.0</v>
      </c>
      <c r="J26" s="7" t="s">
        <v>156</v>
      </c>
      <c r="K26" s="7" t="s">
        <v>36</v>
      </c>
      <c r="L26" s="7">
        <v>5.016438356164383</v>
      </c>
      <c r="M26" s="7" t="s">
        <v>39</v>
      </c>
    </row>
    <row r="27" ht="14.25" customHeight="1">
      <c r="A27" s="7" t="s">
        <v>236</v>
      </c>
      <c r="B27" s="7" t="s">
        <v>237</v>
      </c>
      <c r="C27" s="7" t="s">
        <v>238</v>
      </c>
      <c r="D27" s="7" t="s">
        <v>45</v>
      </c>
      <c r="E27" s="7" t="s">
        <v>155</v>
      </c>
      <c r="F27" s="7">
        <v>61994.76</v>
      </c>
      <c r="G27" s="7" t="s">
        <v>47</v>
      </c>
      <c r="H27" s="9">
        <v>43794.0</v>
      </c>
      <c r="I27" s="7">
        <v>0.3</v>
      </c>
      <c r="J27" s="7" t="s">
        <v>35</v>
      </c>
      <c r="K27" s="7" t="s">
        <v>74</v>
      </c>
      <c r="L27" s="7">
        <v>4.575342465753424</v>
      </c>
      <c r="M27" s="7" t="s">
        <v>51</v>
      </c>
    </row>
    <row r="28" ht="14.25" customHeight="1">
      <c r="A28" s="7" t="s">
        <v>243</v>
      </c>
      <c r="B28" s="7" t="s">
        <v>244</v>
      </c>
      <c r="C28" s="7" t="s">
        <v>245</v>
      </c>
      <c r="D28" s="7" t="s">
        <v>45</v>
      </c>
      <c r="E28" s="7" t="s">
        <v>57</v>
      </c>
      <c r="F28" s="7">
        <v>89690.38</v>
      </c>
      <c r="G28" s="7" t="s">
        <v>47</v>
      </c>
      <c r="H28" s="9">
        <v>43206.0</v>
      </c>
      <c r="I28" s="7">
        <v>1.0</v>
      </c>
      <c r="J28" s="7" t="s">
        <v>35</v>
      </c>
      <c r="K28" s="7" t="s">
        <v>84</v>
      </c>
      <c r="L28" s="7">
        <v>6.186301369863013</v>
      </c>
      <c r="M28" s="7" t="s">
        <v>39</v>
      </c>
    </row>
    <row r="29" ht="14.25" customHeight="1">
      <c r="A29" s="7" t="s">
        <v>251</v>
      </c>
      <c r="B29" s="7" t="s">
        <v>252</v>
      </c>
      <c r="C29" s="7" t="s">
        <v>253</v>
      </c>
      <c r="D29" s="7" t="s">
        <v>30</v>
      </c>
      <c r="E29" s="7" t="s">
        <v>254</v>
      </c>
      <c r="F29" s="7">
        <v>104335.04</v>
      </c>
      <c r="G29" s="7" t="s">
        <v>32</v>
      </c>
      <c r="H29" s="9">
        <v>43874.0</v>
      </c>
      <c r="I29" s="7">
        <v>1.0</v>
      </c>
      <c r="J29" s="7" t="s">
        <v>35</v>
      </c>
      <c r="K29" s="7" t="s">
        <v>147</v>
      </c>
      <c r="L29" s="7">
        <v>4.3561643835616435</v>
      </c>
      <c r="M29" s="7" t="s">
        <v>39</v>
      </c>
    </row>
    <row r="30" ht="14.25" customHeight="1">
      <c r="A30" s="7" t="s">
        <v>257</v>
      </c>
      <c r="B30" s="7" t="s">
        <v>258</v>
      </c>
      <c r="C30" s="7" t="s">
        <v>259</v>
      </c>
      <c r="D30" s="7" t="s">
        <v>30</v>
      </c>
      <c r="E30" s="7" t="s">
        <v>109</v>
      </c>
      <c r="F30" s="7">
        <v>52246.29</v>
      </c>
      <c r="G30" s="7" t="s">
        <v>47</v>
      </c>
      <c r="H30" s="9">
        <v>43573.0</v>
      </c>
      <c r="I30" s="7">
        <v>1.0</v>
      </c>
      <c r="J30" s="7" t="s">
        <v>156</v>
      </c>
      <c r="K30" s="7" t="s">
        <v>84</v>
      </c>
      <c r="L30" s="7">
        <v>5.1808219178082195</v>
      </c>
      <c r="M30" s="7" t="s">
        <v>39</v>
      </c>
    </row>
    <row r="31" ht="14.25" customHeight="1">
      <c r="A31" s="7" t="s">
        <v>261</v>
      </c>
      <c r="B31" s="7" t="s">
        <v>263</v>
      </c>
      <c r="C31" s="7" t="s">
        <v>265</v>
      </c>
      <c r="D31" s="7" t="s">
        <v>30</v>
      </c>
      <c r="E31" s="7" t="s">
        <v>266</v>
      </c>
      <c r="F31" s="7">
        <v>90697.67</v>
      </c>
      <c r="G31" s="7" t="s">
        <v>47</v>
      </c>
      <c r="H31" s="9">
        <v>44221.0</v>
      </c>
      <c r="I31" s="7">
        <v>0.8</v>
      </c>
      <c r="J31" s="7" t="s">
        <v>35</v>
      </c>
      <c r="K31" s="7" t="s">
        <v>50</v>
      </c>
      <c r="L31" s="7">
        <v>3.4054794520547946</v>
      </c>
      <c r="M31" s="7" t="s">
        <v>51</v>
      </c>
    </row>
    <row r="32" ht="14.25" customHeight="1">
      <c r="A32" s="7" t="s">
        <v>268</v>
      </c>
      <c r="B32" s="7" t="s">
        <v>269</v>
      </c>
      <c r="C32" s="7" t="s">
        <v>270</v>
      </c>
      <c r="D32" s="7" t="s">
        <v>30</v>
      </c>
      <c r="E32" s="7" t="s">
        <v>46</v>
      </c>
      <c r="F32" s="7">
        <v>90884.32</v>
      </c>
      <c r="G32" s="7" t="s">
        <v>47</v>
      </c>
      <c r="H32" s="9">
        <v>43826.0</v>
      </c>
      <c r="I32" s="7">
        <v>1.0</v>
      </c>
      <c r="J32" s="7" t="s">
        <v>35</v>
      </c>
      <c r="K32" s="7" t="s">
        <v>147</v>
      </c>
      <c r="L32" s="7">
        <v>4.487671232876712</v>
      </c>
      <c r="M32" s="7" t="s">
        <v>39</v>
      </c>
    </row>
    <row r="33" ht="14.25" customHeight="1">
      <c r="A33" s="7" t="s">
        <v>272</v>
      </c>
      <c r="B33" s="7" t="s">
        <v>273</v>
      </c>
      <c r="C33" s="7" t="s">
        <v>275</v>
      </c>
      <c r="D33" s="7" t="s">
        <v>30</v>
      </c>
      <c r="E33" s="7" t="s">
        <v>155</v>
      </c>
      <c r="F33" s="7">
        <v>76320.44</v>
      </c>
      <c r="G33" s="7" t="s">
        <v>47</v>
      </c>
      <c r="H33" s="9">
        <v>44383.0</v>
      </c>
      <c r="I33" s="7">
        <v>0.8</v>
      </c>
      <c r="J33" s="7" t="s">
        <v>156</v>
      </c>
      <c r="K33" s="7" t="s">
        <v>36</v>
      </c>
      <c r="L33" s="7">
        <v>2.9616438356164383</v>
      </c>
      <c r="M33" s="7" t="s">
        <v>51</v>
      </c>
    </row>
    <row r="34" ht="14.25" customHeight="1">
      <c r="A34" s="7" t="s">
        <v>279</v>
      </c>
      <c r="B34" s="7" t="s">
        <v>280</v>
      </c>
      <c r="C34" s="7" t="s">
        <v>281</v>
      </c>
      <c r="D34" s="7" t="s">
        <v>30</v>
      </c>
      <c r="E34" s="7" t="s">
        <v>46</v>
      </c>
      <c r="F34" s="7">
        <v>73360.38</v>
      </c>
      <c r="G34" s="7" t="s">
        <v>47</v>
      </c>
      <c r="H34" s="9">
        <v>43972.0</v>
      </c>
      <c r="I34" s="7">
        <v>1.0</v>
      </c>
      <c r="J34" s="7" t="s">
        <v>156</v>
      </c>
      <c r="K34" s="7" t="s">
        <v>36</v>
      </c>
      <c r="L34" s="7">
        <v>4.087671232876712</v>
      </c>
      <c r="M34" s="7" t="s">
        <v>39</v>
      </c>
    </row>
    <row r="35" ht="14.25" customHeight="1">
      <c r="A35" s="7" t="s">
        <v>284</v>
      </c>
      <c r="B35" s="7" t="s">
        <v>286</v>
      </c>
      <c r="C35" s="7" t="s">
        <v>288</v>
      </c>
      <c r="D35" s="7" t="s">
        <v>45</v>
      </c>
      <c r="E35" s="7" t="s">
        <v>115</v>
      </c>
      <c r="F35" s="7">
        <v>50449.46</v>
      </c>
      <c r="G35" s="7" t="s">
        <v>47</v>
      </c>
      <c r="H35" s="9">
        <v>43418.0</v>
      </c>
      <c r="I35" s="7">
        <v>0.8</v>
      </c>
      <c r="J35" s="7" t="s">
        <v>35</v>
      </c>
      <c r="K35" s="7" t="s">
        <v>158</v>
      </c>
      <c r="L35" s="7">
        <v>5.605479452054794</v>
      </c>
      <c r="M35" s="7" t="s">
        <v>51</v>
      </c>
    </row>
    <row r="36" ht="14.25" customHeight="1">
      <c r="A36" s="7" t="s">
        <v>291</v>
      </c>
      <c r="B36" s="7" t="s">
        <v>292</v>
      </c>
      <c r="C36" s="7" t="s">
        <v>294</v>
      </c>
      <c r="D36" s="7" t="s">
        <v>30</v>
      </c>
      <c r="E36" s="7" t="s">
        <v>65</v>
      </c>
      <c r="F36" s="7">
        <v>53949.26</v>
      </c>
      <c r="G36" s="7" t="s">
        <v>47</v>
      </c>
      <c r="H36" s="9">
        <v>43808.0</v>
      </c>
      <c r="I36" s="7">
        <v>1.0</v>
      </c>
      <c r="J36" s="7" t="s">
        <v>156</v>
      </c>
      <c r="K36" s="7" t="s">
        <v>147</v>
      </c>
      <c r="L36" s="7">
        <v>4.536986301369863</v>
      </c>
      <c r="M36" s="7" t="s">
        <v>39</v>
      </c>
    </row>
    <row r="37" ht="14.25" customHeight="1">
      <c r="A37" s="7" t="s">
        <v>298</v>
      </c>
      <c r="B37" s="7" t="s">
        <v>299</v>
      </c>
      <c r="C37" s="7" t="s">
        <v>301</v>
      </c>
      <c r="D37" s="7" t="s">
        <v>30</v>
      </c>
      <c r="E37" s="7" t="s">
        <v>266</v>
      </c>
      <c r="F37" s="7">
        <v>113616.23</v>
      </c>
      <c r="G37" s="7" t="s">
        <v>32</v>
      </c>
      <c r="H37" s="9">
        <v>43255.0</v>
      </c>
      <c r="I37" s="7">
        <v>1.0</v>
      </c>
      <c r="J37" s="7" t="s">
        <v>35</v>
      </c>
      <c r="K37" s="7" t="s">
        <v>36</v>
      </c>
      <c r="L37" s="7">
        <v>6.052054794520548</v>
      </c>
      <c r="M37" s="7" t="s">
        <v>39</v>
      </c>
    </row>
    <row r="38" ht="14.25" customHeight="1">
      <c r="A38" s="7" t="s">
        <v>304</v>
      </c>
      <c r="B38" s="7" t="s">
        <v>305</v>
      </c>
      <c r="C38" s="7" t="s">
        <v>307</v>
      </c>
      <c r="D38" s="7" t="s">
        <v>45</v>
      </c>
      <c r="E38" s="7" t="s">
        <v>254</v>
      </c>
      <c r="F38" s="7">
        <v>110906.35</v>
      </c>
      <c r="G38" s="7" t="s">
        <v>32</v>
      </c>
      <c r="H38" s="9">
        <v>43434.0</v>
      </c>
      <c r="I38" s="7">
        <v>1.0</v>
      </c>
      <c r="J38" s="7" t="s">
        <v>156</v>
      </c>
      <c r="K38" s="7" t="s">
        <v>84</v>
      </c>
      <c r="L38" s="7">
        <v>5.561643835616438</v>
      </c>
      <c r="M38" s="7" t="s">
        <v>39</v>
      </c>
    </row>
    <row r="39" ht="14.25" customHeight="1">
      <c r="A39" s="7" t="s">
        <v>310</v>
      </c>
      <c r="B39" s="7" t="s">
        <v>312</v>
      </c>
      <c r="C39" s="7" t="s">
        <v>313</v>
      </c>
      <c r="D39" s="7" t="s">
        <v>45</v>
      </c>
      <c r="E39" s="7" t="s">
        <v>91</v>
      </c>
      <c r="F39" s="7">
        <v>100371.31</v>
      </c>
      <c r="G39" s="7" t="s">
        <v>32</v>
      </c>
      <c r="H39" s="9">
        <v>44067.0</v>
      </c>
      <c r="I39" s="7">
        <v>0.8</v>
      </c>
      <c r="J39" s="7" t="s">
        <v>67</v>
      </c>
      <c r="K39" s="7" t="s">
        <v>158</v>
      </c>
      <c r="L39" s="7">
        <v>3.8273972602739725</v>
      </c>
      <c r="M39" s="7" t="s">
        <v>51</v>
      </c>
    </row>
    <row r="40" ht="14.25" customHeight="1">
      <c r="A40" s="7" t="s">
        <v>317</v>
      </c>
      <c r="B40" s="7" t="s">
        <v>318</v>
      </c>
      <c r="C40" s="7" t="s">
        <v>320</v>
      </c>
      <c r="D40" s="7" t="s">
        <v>45</v>
      </c>
      <c r="E40" s="7" t="s">
        <v>109</v>
      </c>
      <c r="F40" s="7">
        <v>69163.39</v>
      </c>
      <c r="G40" s="7" t="s">
        <v>47</v>
      </c>
      <c r="H40" s="9">
        <v>43397.0</v>
      </c>
      <c r="I40" s="7">
        <v>1.0</v>
      </c>
      <c r="J40" s="7" t="s">
        <v>35</v>
      </c>
      <c r="K40" s="7" t="s">
        <v>36</v>
      </c>
      <c r="L40" s="7">
        <v>5.663013698630137</v>
      </c>
      <c r="M40" s="7" t="s">
        <v>39</v>
      </c>
    </row>
    <row r="41" ht="14.25" customHeight="1">
      <c r="A41" s="7" t="s">
        <v>323</v>
      </c>
      <c r="B41" s="7" t="s">
        <v>325</v>
      </c>
      <c r="C41" s="7" t="s">
        <v>326</v>
      </c>
      <c r="D41" s="7" t="s">
        <v>30</v>
      </c>
      <c r="E41" s="7" t="s">
        <v>65</v>
      </c>
      <c r="F41" s="7">
        <v>114691.03</v>
      </c>
      <c r="G41" s="7" t="s">
        <v>32</v>
      </c>
      <c r="H41" s="9">
        <v>44039.0</v>
      </c>
      <c r="I41" s="7">
        <v>1.0</v>
      </c>
      <c r="J41" s="7" t="s">
        <v>156</v>
      </c>
      <c r="K41" s="7" t="s">
        <v>84</v>
      </c>
      <c r="L41" s="7">
        <v>3.904109589041096</v>
      </c>
      <c r="M41" s="7" t="s">
        <v>39</v>
      </c>
    </row>
    <row r="42" ht="14.25" customHeight="1">
      <c r="A42" s="7" t="s">
        <v>331</v>
      </c>
      <c r="B42" s="7" t="s">
        <v>332</v>
      </c>
      <c r="C42" s="7" t="s">
        <v>333</v>
      </c>
      <c r="D42" s="7" t="s">
        <v>30</v>
      </c>
      <c r="E42" s="7" t="s">
        <v>155</v>
      </c>
      <c r="F42" s="7">
        <v>86556.96</v>
      </c>
      <c r="G42" s="7" t="s">
        <v>47</v>
      </c>
      <c r="H42" s="9">
        <v>44104.0</v>
      </c>
      <c r="I42" s="7">
        <v>1.0</v>
      </c>
      <c r="J42" s="7" t="s">
        <v>35</v>
      </c>
      <c r="K42" s="7" t="s">
        <v>74</v>
      </c>
      <c r="L42" s="7">
        <v>3.7260273972602738</v>
      </c>
      <c r="M42" s="7" t="s">
        <v>39</v>
      </c>
    </row>
    <row r="43" ht="14.25" customHeight="1">
      <c r="A43" s="7" t="s">
        <v>337</v>
      </c>
      <c r="B43" s="7" t="s">
        <v>339</v>
      </c>
      <c r="C43" s="7" t="s">
        <v>340</v>
      </c>
      <c r="D43" s="7" t="s">
        <v>45</v>
      </c>
      <c r="E43" s="7" t="s">
        <v>57</v>
      </c>
      <c r="F43" s="7">
        <v>31172.77</v>
      </c>
      <c r="G43" s="7" t="s">
        <v>130</v>
      </c>
      <c r="H43" s="9">
        <v>43665.0</v>
      </c>
      <c r="I43" s="7">
        <v>1.0</v>
      </c>
      <c r="J43" s="7" t="s">
        <v>67</v>
      </c>
      <c r="K43" s="7" t="s">
        <v>36</v>
      </c>
      <c r="L43" s="7">
        <v>4.928767123287671</v>
      </c>
      <c r="M43" s="7" t="s">
        <v>39</v>
      </c>
    </row>
    <row r="44" ht="14.25" customHeight="1">
      <c r="A44" s="7" t="s">
        <v>343</v>
      </c>
      <c r="B44" s="7" t="s">
        <v>344</v>
      </c>
      <c r="C44" s="7" t="s">
        <v>345</v>
      </c>
      <c r="D44" s="7" t="s">
        <v>30</v>
      </c>
      <c r="E44" s="7" t="s">
        <v>46</v>
      </c>
      <c r="F44" s="7">
        <v>80169.42</v>
      </c>
      <c r="G44" s="7" t="s">
        <v>47</v>
      </c>
      <c r="H44" s="9">
        <v>44053.0</v>
      </c>
      <c r="I44" s="7">
        <v>1.0</v>
      </c>
      <c r="J44" s="7" t="s">
        <v>35</v>
      </c>
      <c r="K44" s="7" t="s">
        <v>158</v>
      </c>
      <c r="L44" s="7">
        <v>3.8657534246575342</v>
      </c>
      <c r="M44" s="7" t="s">
        <v>39</v>
      </c>
    </row>
    <row r="45" ht="14.25" customHeight="1">
      <c r="A45" s="7" t="s">
        <v>291</v>
      </c>
      <c r="B45" s="7" t="s">
        <v>292</v>
      </c>
      <c r="C45" s="7" t="s">
        <v>294</v>
      </c>
      <c r="D45" s="7" t="s">
        <v>30</v>
      </c>
      <c r="E45" s="7" t="s">
        <v>65</v>
      </c>
      <c r="F45" s="7">
        <v>53949.26</v>
      </c>
      <c r="G45" s="7" t="s">
        <v>47</v>
      </c>
      <c r="H45" s="9">
        <v>43808.0</v>
      </c>
      <c r="I45" s="7">
        <v>1.0</v>
      </c>
      <c r="J45" s="7" t="s">
        <v>156</v>
      </c>
      <c r="K45" s="7" t="s">
        <v>147</v>
      </c>
      <c r="L45" s="7">
        <v>4.536986301369863</v>
      </c>
      <c r="M45" s="7" t="s">
        <v>39</v>
      </c>
    </row>
    <row r="46" ht="14.25" customHeight="1">
      <c r="A46" s="7" t="s">
        <v>349</v>
      </c>
      <c r="B46" s="7" t="s">
        <v>350</v>
      </c>
      <c r="C46" s="7" t="s">
        <v>351</v>
      </c>
      <c r="D46" s="7" t="s">
        <v>45</v>
      </c>
      <c r="E46" s="7" t="s">
        <v>91</v>
      </c>
      <c r="F46" s="7">
        <v>58935.92</v>
      </c>
      <c r="G46" s="7" t="s">
        <v>47</v>
      </c>
      <c r="H46" s="9">
        <v>43717.0</v>
      </c>
      <c r="I46" s="7">
        <v>1.0</v>
      </c>
      <c r="J46" s="7" t="s">
        <v>156</v>
      </c>
      <c r="K46" s="7" t="s">
        <v>74</v>
      </c>
      <c r="L46" s="7">
        <v>4.786301369863014</v>
      </c>
      <c r="M46" s="7" t="s">
        <v>39</v>
      </c>
    </row>
    <row r="47" ht="14.25" customHeight="1">
      <c r="A47" s="7" t="s">
        <v>352</v>
      </c>
      <c r="B47" s="7" t="s">
        <v>353</v>
      </c>
      <c r="C47" s="7" t="s">
        <v>354</v>
      </c>
      <c r="D47" s="7" t="s">
        <v>45</v>
      </c>
      <c r="E47" s="7" t="s">
        <v>91</v>
      </c>
      <c r="F47" s="7">
        <v>63555.73</v>
      </c>
      <c r="G47" s="7" t="s">
        <v>47</v>
      </c>
      <c r="H47" s="9">
        <v>44159.0</v>
      </c>
      <c r="I47" s="7">
        <v>1.0</v>
      </c>
      <c r="J47" s="7" t="s">
        <v>35</v>
      </c>
      <c r="K47" s="7" t="s">
        <v>172</v>
      </c>
      <c r="L47" s="7">
        <v>3.5753424657534247</v>
      </c>
      <c r="M47" s="7" t="s">
        <v>39</v>
      </c>
    </row>
    <row r="48" ht="14.25" customHeight="1">
      <c r="A48" s="7" t="s">
        <v>355</v>
      </c>
      <c r="B48" s="7" t="s">
        <v>356</v>
      </c>
      <c r="C48" s="7" t="s">
        <v>357</v>
      </c>
      <c r="D48" s="7" t="s">
        <v>30</v>
      </c>
      <c r="E48" s="7" t="s">
        <v>109</v>
      </c>
      <c r="F48" s="7">
        <v>57419.35</v>
      </c>
      <c r="G48" s="7" t="s">
        <v>47</v>
      </c>
      <c r="H48" s="9">
        <v>43305.0</v>
      </c>
      <c r="I48" s="7">
        <v>1.0</v>
      </c>
      <c r="J48" s="7" t="s">
        <v>67</v>
      </c>
      <c r="K48" s="7" t="s">
        <v>158</v>
      </c>
      <c r="L48" s="7">
        <v>5.9150684931506845</v>
      </c>
      <c r="M48" s="7" t="s">
        <v>39</v>
      </c>
    </row>
    <row r="49" ht="14.25" customHeight="1">
      <c r="A49" s="7" t="s">
        <v>358</v>
      </c>
      <c r="B49" s="7" t="s">
        <v>359</v>
      </c>
      <c r="C49" s="7" t="s">
        <v>360</v>
      </c>
      <c r="D49" s="7" t="s">
        <v>45</v>
      </c>
      <c r="E49" s="7" t="s">
        <v>254</v>
      </c>
      <c r="F49" s="7">
        <v>67818.14</v>
      </c>
      <c r="G49" s="7" t="s">
        <v>47</v>
      </c>
      <c r="H49" s="9">
        <v>43406.0</v>
      </c>
      <c r="I49" s="7">
        <v>0.6</v>
      </c>
      <c r="J49" s="7" t="s">
        <v>67</v>
      </c>
      <c r="K49" s="7" t="s">
        <v>36</v>
      </c>
      <c r="L49" s="7">
        <v>5.638356164383562</v>
      </c>
      <c r="M49" s="7" t="s">
        <v>51</v>
      </c>
    </row>
    <row r="50" ht="14.25" customHeight="1">
      <c r="A50" s="7" t="s">
        <v>361</v>
      </c>
      <c r="B50" s="7" t="s">
        <v>362</v>
      </c>
      <c r="C50" s="7" t="s">
        <v>363</v>
      </c>
      <c r="D50" s="7" t="s">
        <v>45</v>
      </c>
      <c r="E50" s="7" t="s">
        <v>31</v>
      </c>
      <c r="F50" s="7">
        <v>44403.77</v>
      </c>
      <c r="G50" s="7" t="s">
        <v>130</v>
      </c>
      <c r="H50" s="9">
        <v>43416.0</v>
      </c>
      <c r="I50" s="7">
        <v>1.0</v>
      </c>
      <c r="J50" s="7" t="s">
        <v>35</v>
      </c>
      <c r="K50" s="7" t="s">
        <v>74</v>
      </c>
      <c r="L50" s="7">
        <v>5.610958904109589</v>
      </c>
      <c r="M50" s="7" t="s">
        <v>39</v>
      </c>
    </row>
    <row r="51" ht="14.25" customHeight="1">
      <c r="A51" s="7" t="s">
        <v>364</v>
      </c>
      <c r="B51" s="7" t="s">
        <v>365</v>
      </c>
      <c r="C51" s="7" t="s">
        <v>366</v>
      </c>
      <c r="D51" s="7" t="s">
        <v>30</v>
      </c>
      <c r="E51" s="7" t="s">
        <v>103</v>
      </c>
      <c r="F51" s="7">
        <v>40753.54</v>
      </c>
      <c r="G51" s="7" t="s">
        <v>130</v>
      </c>
      <c r="H51" s="9">
        <v>43152.0</v>
      </c>
      <c r="I51" s="7">
        <v>0.6</v>
      </c>
      <c r="J51" s="7" t="s">
        <v>35</v>
      </c>
      <c r="K51" s="7" t="s">
        <v>84</v>
      </c>
      <c r="L51" s="7">
        <v>6.3342465753424655</v>
      </c>
      <c r="M51" s="7" t="s">
        <v>51</v>
      </c>
    </row>
    <row r="52" ht="14.25" customHeight="1">
      <c r="A52" s="7" t="s">
        <v>367</v>
      </c>
      <c r="B52" s="7" t="s">
        <v>368</v>
      </c>
      <c r="C52" s="7" t="s">
        <v>369</v>
      </c>
      <c r="D52" s="7" t="s">
        <v>45</v>
      </c>
      <c r="E52" s="7" t="s">
        <v>65</v>
      </c>
      <c r="F52" s="7">
        <v>102934.09</v>
      </c>
      <c r="G52" s="7" t="s">
        <v>32</v>
      </c>
      <c r="H52" s="9">
        <v>44315.0</v>
      </c>
      <c r="I52" s="7">
        <v>1.0</v>
      </c>
      <c r="J52" s="7" t="s">
        <v>35</v>
      </c>
      <c r="K52" s="7" t="s">
        <v>74</v>
      </c>
      <c r="L52" s="7">
        <v>3.147945205479452</v>
      </c>
      <c r="M52" s="7" t="s">
        <v>39</v>
      </c>
    </row>
    <row r="53" ht="14.25" customHeight="1">
      <c r="A53" s="7" t="s">
        <v>370</v>
      </c>
      <c r="B53" s="7" t="s">
        <v>371</v>
      </c>
      <c r="C53" s="7" t="s">
        <v>372</v>
      </c>
      <c r="D53" s="7" t="s">
        <v>30</v>
      </c>
      <c r="E53" s="7" t="s">
        <v>212</v>
      </c>
      <c r="F53" s="7">
        <v>68860.4</v>
      </c>
      <c r="G53" s="7" t="s">
        <v>47</v>
      </c>
      <c r="H53" s="9">
        <v>43508.0</v>
      </c>
      <c r="I53" s="7">
        <v>0.4</v>
      </c>
      <c r="J53" s="7" t="s">
        <v>35</v>
      </c>
      <c r="K53" s="7" t="s">
        <v>147</v>
      </c>
      <c r="L53" s="7">
        <v>5.358904109589041</v>
      </c>
      <c r="M53" s="7" t="s">
        <v>51</v>
      </c>
    </row>
    <row r="54" ht="14.25" customHeight="1">
      <c r="A54" s="7" t="s">
        <v>373</v>
      </c>
      <c r="B54" s="7" t="s">
        <v>374</v>
      </c>
      <c r="C54" s="7" t="s">
        <v>375</v>
      </c>
      <c r="D54" s="7" t="s">
        <v>30</v>
      </c>
      <c r="E54" s="7" t="s">
        <v>65</v>
      </c>
      <c r="F54" s="7">
        <v>79567.69</v>
      </c>
      <c r="G54" s="7" t="s">
        <v>47</v>
      </c>
      <c r="H54" s="9">
        <v>43272.0</v>
      </c>
      <c r="I54" s="7">
        <v>1.0</v>
      </c>
      <c r="J54" s="7" t="s">
        <v>67</v>
      </c>
      <c r="K54" s="7" t="s">
        <v>172</v>
      </c>
      <c r="L54" s="7">
        <v>6.005479452054795</v>
      </c>
      <c r="M54" s="7" t="s">
        <v>39</v>
      </c>
    </row>
    <row r="55" ht="14.25" customHeight="1">
      <c r="A55" s="7" t="s">
        <v>376</v>
      </c>
      <c r="B55" s="7" t="s">
        <v>377</v>
      </c>
      <c r="C55" s="7" t="s">
        <v>378</v>
      </c>
      <c r="D55" s="7" t="s">
        <v>45</v>
      </c>
      <c r="E55" s="7" t="s">
        <v>155</v>
      </c>
      <c r="F55" s="7">
        <v>35943.62</v>
      </c>
      <c r="G55" s="7" t="s">
        <v>130</v>
      </c>
      <c r="H55" s="9">
        <v>44078.0</v>
      </c>
      <c r="I55" s="7">
        <v>1.0</v>
      </c>
      <c r="J55" s="7" t="s">
        <v>35</v>
      </c>
      <c r="K55" s="7" t="s">
        <v>147</v>
      </c>
      <c r="L55" s="7">
        <v>3.797260273972603</v>
      </c>
      <c r="M55" s="7" t="s">
        <v>39</v>
      </c>
    </row>
    <row r="56" ht="14.25" customHeight="1">
      <c r="A56" s="7" t="s">
        <v>380</v>
      </c>
      <c r="B56" s="7" t="s">
        <v>381</v>
      </c>
      <c r="C56" s="7" t="s">
        <v>382</v>
      </c>
      <c r="D56" s="7" t="s">
        <v>45</v>
      </c>
      <c r="E56" s="7" t="s">
        <v>65</v>
      </c>
      <c r="F56" s="7">
        <v>116767.63</v>
      </c>
      <c r="G56" s="7" t="s">
        <v>32</v>
      </c>
      <c r="H56" s="9">
        <v>43949.0</v>
      </c>
      <c r="I56" s="7">
        <v>0.4</v>
      </c>
      <c r="J56" s="7" t="s">
        <v>156</v>
      </c>
      <c r="K56" s="7" t="s">
        <v>172</v>
      </c>
      <c r="L56" s="7">
        <v>4.1506849315068495</v>
      </c>
      <c r="M56" s="7" t="s">
        <v>51</v>
      </c>
    </row>
    <row r="57" ht="14.25" customHeight="1">
      <c r="A57" s="7" t="s">
        <v>383</v>
      </c>
      <c r="B57" s="7" t="s">
        <v>384</v>
      </c>
      <c r="C57" s="7" t="s">
        <v>385</v>
      </c>
      <c r="D57" s="7" t="s">
        <v>30</v>
      </c>
      <c r="E57" s="7" t="s">
        <v>115</v>
      </c>
      <c r="F57" s="7">
        <v>85455.53</v>
      </c>
      <c r="G57" s="7" t="s">
        <v>47</v>
      </c>
      <c r="H57" s="9">
        <v>43839.0</v>
      </c>
      <c r="I57" s="7">
        <v>1.0</v>
      </c>
      <c r="J57" s="7" t="s">
        <v>35</v>
      </c>
      <c r="K57" s="7" t="s">
        <v>84</v>
      </c>
      <c r="L57" s="7">
        <v>4.4520547945205475</v>
      </c>
      <c r="M57" s="7" t="s">
        <v>39</v>
      </c>
    </row>
    <row r="58" ht="14.25" customHeight="1">
      <c r="A58" s="7" t="s">
        <v>386</v>
      </c>
      <c r="B58" s="7" t="s">
        <v>387</v>
      </c>
      <c r="C58" s="7" t="s">
        <v>388</v>
      </c>
      <c r="D58" s="7" t="s">
        <v>45</v>
      </c>
      <c r="E58" s="7" t="s">
        <v>115</v>
      </c>
      <c r="F58" s="7">
        <v>39700.82</v>
      </c>
      <c r="G58" s="7" t="s">
        <v>130</v>
      </c>
      <c r="H58" s="9">
        <v>44203.0</v>
      </c>
      <c r="I58" s="7">
        <v>0.8</v>
      </c>
      <c r="J58" s="7" t="s">
        <v>35</v>
      </c>
      <c r="K58" s="7" t="s">
        <v>172</v>
      </c>
      <c r="L58" s="7">
        <v>3.4547945205479453</v>
      </c>
      <c r="M58" s="7" t="s">
        <v>51</v>
      </c>
    </row>
    <row r="59" ht="14.25" customHeight="1">
      <c r="A59" s="7" t="s">
        <v>389</v>
      </c>
      <c r="B59" s="7" t="s">
        <v>390</v>
      </c>
      <c r="C59" s="7" t="s">
        <v>391</v>
      </c>
      <c r="D59" s="7" t="s">
        <v>45</v>
      </c>
      <c r="E59" s="7" t="s">
        <v>254</v>
      </c>
      <c r="F59" s="7">
        <v>38438.24</v>
      </c>
      <c r="G59" s="7" t="s">
        <v>130</v>
      </c>
      <c r="H59" s="9">
        <v>43962.0</v>
      </c>
      <c r="I59" s="7">
        <v>1.0</v>
      </c>
      <c r="J59" s="7" t="s">
        <v>35</v>
      </c>
      <c r="K59" s="7" t="s">
        <v>172</v>
      </c>
      <c r="L59" s="7">
        <v>4.115068493150685</v>
      </c>
      <c r="M59" s="7" t="s">
        <v>39</v>
      </c>
    </row>
    <row r="60" ht="14.25" customHeight="1">
      <c r="A60" s="7" t="s">
        <v>392</v>
      </c>
      <c r="B60" s="7" t="s">
        <v>393</v>
      </c>
      <c r="C60" s="7" t="s">
        <v>394</v>
      </c>
      <c r="D60" s="7" t="s">
        <v>30</v>
      </c>
      <c r="E60" s="7" t="s">
        <v>31</v>
      </c>
      <c r="F60" s="7">
        <v>50855.53</v>
      </c>
      <c r="G60" s="7" t="s">
        <v>47</v>
      </c>
      <c r="H60" s="9">
        <v>44221.0</v>
      </c>
      <c r="I60" s="7">
        <v>1.0</v>
      </c>
      <c r="J60" s="7" t="s">
        <v>35</v>
      </c>
      <c r="K60" s="7" t="s">
        <v>84</v>
      </c>
      <c r="L60" s="7">
        <v>3.4054794520547946</v>
      </c>
      <c r="M60" s="7" t="s">
        <v>39</v>
      </c>
    </row>
    <row r="61" ht="14.25" customHeight="1">
      <c r="A61" s="7" t="s">
        <v>395</v>
      </c>
      <c r="B61" s="7" t="s">
        <v>396</v>
      </c>
      <c r="C61" s="7" t="s">
        <v>397</v>
      </c>
      <c r="D61" s="7" t="s">
        <v>30</v>
      </c>
      <c r="E61" s="7" t="s">
        <v>103</v>
      </c>
      <c r="F61" s="7">
        <v>37362.3</v>
      </c>
      <c r="G61" s="7" t="s">
        <v>130</v>
      </c>
      <c r="H61" s="9">
        <v>43642.0</v>
      </c>
      <c r="I61" s="7">
        <v>1.0</v>
      </c>
      <c r="J61" s="7" t="s">
        <v>35</v>
      </c>
      <c r="K61" s="7" t="s">
        <v>158</v>
      </c>
      <c r="L61" s="7">
        <v>4.991780821917808</v>
      </c>
      <c r="M61" s="7" t="s">
        <v>39</v>
      </c>
    </row>
    <row r="62" ht="14.25" customHeight="1">
      <c r="A62" s="7" t="s">
        <v>398</v>
      </c>
      <c r="B62" s="7" t="s">
        <v>399</v>
      </c>
      <c r="C62" s="7" t="s">
        <v>400</v>
      </c>
      <c r="D62" s="7" t="s">
        <v>30</v>
      </c>
      <c r="E62" s="7" t="s">
        <v>155</v>
      </c>
      <c r="F62" s="7">
        <v>72876.91</v>
      </c>
      <c r="G62" s="7" t="s">
        <v>47</v>
      </c>
      <c r="H62" s="9">
        <v>43612.0</v>
      </c>
      <c r="I62" s="7">
        <v>0.4</v>
      </c>
      <c r="J62" s="7" t="s">
        <v>67</v>
      </c>
      <c r="K62" s="7" t="s">
        <v>158</v>
      </c>
      <c r="L62" s="7">
        <v>5.073972602739726</v>
      </c>
      <c r="M62" s="7" t="s">
        <v>51</v>
      </c>
    </row>
    <row r="63" ht="14.25" customHeight="1">
      <c r="A63" s="7" t="s">
        <v>401</v>
      </c>
      <c r="B63" s="7" t="s">
        <v>402</v>
      </c>
      <c r="C63" s="7" t="s">
        <v>403</v>
      </c>
      <c r="D63" s="7" t="s">
        <v>45</v>
      </c>
      <c r="E63" s="7" t="s">
        <v>266</v>
      </c>
      <c r="F63" s="7">
        <v>31042.51</v>
      </c>
      <c r="G63" s="7" t="s">
        <v>130</v>
      </c>
      <c r="H63" s="9">
        <v>44473.0</v>
      </c>
      <c r="I63" s="7">
        <v>0.3</v>
      </c>
      <c r="J63" s="7" t="s">
        <v>67</v>
      </c>
      <c r="K63" s="7" t="s">
        <v>36</v>
      </c>
      <c r="L63" s="7">
        <v>2.7150684931506848</v>
      </c>
      <c r="M63" s="7" t="s">
        <v>51</v>
      </c>
    </row>
    <row r="64" ht="14.25" customHeight="1">
      <c r="A64" s="7" t="s">
        <v>404</v>
      </c>
      <c r="B64" s="7" t="s">
        <v>405</v>
      </c>
      <c r="C64" s="7" t="s">
        <v>406</v>
      </c>
      <c r="D64" s="7" t="s">
        <v>45</v>
      </c>
      <c r="E64" s="7" t="s">
        <v>266</v>
      </c>
      <c r="F64" s="7">
        <v>63705.4</v>
      </c>
      <c r="G64" s="7" t="s">
        <v>47</v>
      </c>
      <c r="H64" s="9">
        <v>43682.0</v>
      </c>
      <c r="I64" s="7">
        <v>1.0</v>
      </c>
      <c r="J64" s="7" t="s">
        <v>35</v>
      </c>
      <c r="K64" s="7" t="s">
        <v>74</v>
      </c>
      <c r="L64" s="7">
        <v>4.882191780821918</v>
      </c>
      <c r="M64" s="7" t="s">
        <v>39</v>
      </c>
    </row>
    <row r="65" ht="14.25" customHeight="1">
      <c r="A65" s="7" t="s">
        <v>407</v>
      </c>
      <c r="B65" s="7" t="s">
        <v>408</v>
      </c>
      <c r="C65" s="7" t="s">
        <v>409</v>
      </c>
      <c r="D65" s="7" t="s">
        <v>45</v>
      </c>
      <c r="E65" s="7" t="s">
        <v>115</v>
      </c>
      <c r="F65" s="7">
        <v>59434.18</v>
      </c>
      <c r="G65" s="7" t="s">
        <v>47</v>
      </c>
      <c r="H65" s="9">
        <v>43931.0</v>
      </c>
      <c r="I65" s="7">
        <v>1.0</v>
      </c>
      <c r="J65" s="7" t="s">
        <v>156</v>
      </c>
      <c r="K65" s="7" t="s">
        <v>50</v>
      </c>
      <c r="L65" s="7">
        <v>4.2</v>
      </c>
      <c r="M65" s="7" t="s">
        <v>39</v>
      </c>
    </row>
    <row r="66" ht="14.25" customHeight="1">
      <c r="A66" s="7" t="s">
        <v>410</v>
      </c>
      <c r="B66" s="7" t="s">
        <v>411</v>
      </c>
      <c r="C66" s="7" t="s">
        <v>412</v>
      </c>
      <c r="D66" s="7" t="s">
        <v>45</v>
      </c>
      <c r="E66" s="7" t="s">
        <v>212</v>
      </c>
      <c r="F66" s="7">
        <v>84762.76</v>
      </c>
      <c r="G66" s="7" t="s">
        <v>47</v>
      </c>
      <c r="H66" s="9">
        <v>43332.0</v>
      </c>
      <c r="I66" s="7">
        <v>1.0</v>
      </c>
      <c r="J66" s="7" t="s">
        <v>35</v>
      </c>
      <c r="K66" s="7" t="s">
        <v>74</v>
      </c>
      <c r="L66" s="7">
        <v>5.841095890410959</v>
      </c>
      <c r="M66" s="7" t="s">
        <v>39</v>
      </c>
    </row>
    <row r="67" ht="14.25" customHeight="1">
      <c r="A67" s="7" t="s">
        <v>413</v>
      </c>
      <c r="B67" s="7" t="s">
        <v>414</v>
      </c>
      <c r="C67" s="7" t="s">
        <v>415</v>
      </c>
      <c r="D67" s="7" t="s">
        <v>45</v>
      </c>
      <c r="E67" s="7" t="s">
        <v>57</v>
      </c>
      <c r="F67" s="7">
        <v>69057.32</v>
      </c>
      <c r="G67" s="7" t="s">
        <v>47</v>
      </c>
      <c r="H67" s="9">
        <v>43390.0</v>
      </c>
      <c r="I67" s="7">
        <v>1.0</v>
      </c>
      <c r="J67" s="7" t="s">
        <v>35</v>
      </c>
      <c r="K67" s="7" t="s">
        <v>84</v>
      </c>
      <c r="L67" s="7">
        <v>5.682191780821918</v>
      </c>
      <c r="M67" s="7" t="s">
        <v>39</v>
      </c>
    </row>
    <row r="68" ht="14.25" customHeight="1">
      <c r="A68" s="7" t="s">
        <v>416</v>
      </c>
      <c r="B68" s="7" t="s">
        <v>417</v>
      </c>
      <c r="C68" s="7" t="s">
        <v>418</v>
      </c>
      <c r="D68" s="7" t="s">
        <v>90</v>
      </c>
      <c r="E68" s="7" t="s">
        <v>155</v>
      </c>
      <c r="F68" s="7">
        <v>99448.78</v>
      </c>
      <c r="G68" s="7" t="s">
        <v>47</v>
      </c>
      <c r="H68" s="9">
        <v>43473.0</v>
      </c>
      <c r="I68" s="7">
        <v>1.0</v>
      </c>
      <c r="J68" s="7" t="s">
        <v>67</v>
      </c>
      <c r="K68" s="7" t="s">
        <v>84</v>
      </c>
      <c r="L68" s="7">
        <v>5.454794520547945</v>
      </c>
      <c r="M68" s="7" t="s">
        <v>39</v>
      </c>
    </row>
    <row r="69" ht="14.25" customHeight="1">
      <c r="A69" s="7" t="s">
        <v>419</v>
      </c>
      <c r="B69" s="7" t="s">
        <v>420</v>
      </c>
      <c r="C69" s="7" t="s">
        <v>421</v>
      </c>
      <c r="D69" s="7" t="s">
        <v>45</v>
      </c>
      <c r="E69" s="7" t="s">
        <v>254</v>
      </c>
      <c r="F69" s="7">
        <v>66865.49</v>
      </c>
      <c r="G69" s="7" t="s">
        <v>47</v>
      </c>
      <c r="H69" s="9">
        <v>43514.0</v>
      </c>
      <c r="I69" s="7">
        <v>1.0</v>
      </c>
      <c r="J69" s="7" t="s">
        <v>35</v>
      </c>
      <c r="K69" s="7" t="s">
        <v>50</v>
      </c>
      <c r="L69" s="7">
        <v>5.342465753424658</v>
      </c>
      <c r="M69" s="7" t="s">
        <v>39</v>
      </c>
    </row>
    <row r="70" ht="14.25" customHeight="1">
      <c r="A70" s="7" t="s">
        <v>422</v>
      </c>
      <c r="B70" s="7" t="s">
        <v>423</v>
      </c>
      <c r="C70" s="7" t="s">
        <v>424</v>
      </c>
      <c r="D70" s="7" t="s">
        <v>30</v>
      </c>
      <c r="E70" s="7" t="s">
        <v>266</v>
      </c>
      <c r="F70" s="7">
        <v>113747.56</v>
      </c>
      <c r="G70" s="7" t="s">
        <v>32</v>
      </c>
      <c r="H70" s="9">
        <v>44270.0</v>
      </c>
      <c r="I70" s="7">
        <v>0.7</v>
      </c>
      <c r="J70" s="7" t="s">
        <v>156</v>
      </c>
      <c r="K70" s="7" t="s">
        <v>147</v>
      </c>
      <c r="L70" s="7">
        <v>3.271232876712329</v>
      </c>
      <c r="M70" s="7" t="s">
        <v>51</v>
      </c>
    </row>
    <row r="71" ht="14.25" customHeight="1">
      <c r="A71" s="7" t="s">
        <v>425</v>
      </c>
      <c r="B71" s="7" t="s">
        <v>426</v>
      </c>
      <c r="C71" s="7" t="s">
        <v>427</v>
      </c>
      <c r="D71" s="7" t="s">
        <v>30</v>
      </c>
      <c r="E71" s="7" t="s">
        <v>46</v>
      </c>
      <c r="F71" s="7">
        <v>85918.61</v>
      </c>
      <c r="G71" s="7" t="s">
        <v>47</v>
      </c>
      <c r="H71" s="9">
        <v>43136.0</v>
      </c>
      <c r="I71" s="7">
        <v>1.0</v>
      </c>
      <c r="J71" s="7" t="s">
        <v>35</v>
      </c>
      <c r="K71" s="7" t="s">
        <v>147</v>
      </c>
      <c r="L71" s="7">
        <v>6.3780821917808215</v>
      </c>
      <c r="M71" s="7" t="s">
        <v>39</v>
      </c>
    </row>
    <row r="72" ht="14.25" customHeight="1">
      <c r="A72" s="7" t="s">
        <v>428</v>
      </c>
      <c r="B72" s="7" t="s">
        <v>429</v>
      </c>
      <c r="C72" s="7" t="s">
        <v>430</v>
      </c>
      <c r="D72" s="7" t="s">
        <v>45</v>
      </c>
      <c r="E72" s="7" t="s">
        <v>31</v>
      </c>
      <c r="F72" s="7">
        <v>51165.37</v>
      </c>
      <c r="G72" s="7" t="s">
        <v>47</v>
      </c>
      <c r="H72" s="9">
        <v>44237.0</v>
      </c>
      <c r="I72" s="7">
        <v>1.0</v>
      </c>
      <c r="J72" s="7" t="s">
        <v>67</v>
      </c>
      <c r="K72" s="7" t="s">
        <v>74</v>
      </c>
      <c r="L72" s="7">
        <v>3.361643835616438</v>
      </c>
      <c r="M72" s="7" t="s">
        <v>39</v>
      </c>
    </row>
    <row r="73" ht="14.25" customHeight="1">
      <c r="A73" s="7" t="s">
        <v>431</v>
      </c>
      <c r="B73" s="7" t="s">
        <v>432</v>
      </c>
      <c r="C73" s="7" t="s">
        <v>433</v>
      </c>
      <c r="D73" s="7" t="s">
        <v>90</v>
      </c>
      <c r="E73" s="7" t="s">
        <v>155</v>
      </c>
      <c r="F73" s="7">
        <v>67957.9</v>
      </c>
      <c r="G73" s="7" t="s">
        <v>47</v>
      </c>
      <c r="H73" s="9">
        <v>43430.0</v>
      </c>
      <c r="I73" s="7">
        <v>1.0</v>
      </c>
      <c r="J73" s="7" t="s">
        <v>35</v>
      </c>
      <c r="K73" s="7" t="s">
        <v>172</v>
      </c>
      <c r="L73" s="7">
        <v>5.572602739726028</v>
      </c>
      <c r="M73" s="7" t="s">
        <v>39</v>
      </c>
    </row>
    <row r="74" ht="14.25" customHeight="1">
      <c r="A74" s="7" t="s">
        <v>434</v>
      </c>
      <c r="B74" s="7" t="s">
        <v>435</v>
      </c>
      <c r="C74" s="7" t="s">
        <v>436</v>
      </c>
      <c r="D74" s="7" t="s">
        <v>30</v>
      </c>
      <c r="E74" s="7" t="s">
        <v>31</v>
      </c>
      <c r="F74" s="7">
        <v>114465.93</v>
      </c>
      <c r="G74" s="7" t="s">
        <v>32</v>
      </c>
      <c r="H74" s="9">
        <v>43291.0</v>
      </c>
      <c r="I74" s="7">
        <v>1.0</v>
      </c>
      <c r="J74" s="7" t="s">
        <v>156</v>
      </c>
      <c r="K74" s="7" t="s">
        <v>84</v>
      </c>
      <c r="L74" s="7">
        <v>5.953424657534247</v>
      </c>
      <c r="M74" s="7" t="s">
        <v>39</v>
      </c>
    </row>
    <row r="75" ht="14.25" customHeight="1">
      <c r="A75" s="7" t="s">
        <v>437</v>
      </c>
      <c r="B75" s="7" t="s">
        <v>438</v>
      </c>
      <c r="C75" s="7" t="s">
        <v>439</v>
      </c>
      <c r="D75" s="7" t="s">
        <v>30</v>
      </c>
      <c r="E75" s="7" t="s">
        <v>103</v>
      </c>
      <c r="F75" s="7">
        <v>65699.02</v>
      </c>
      <c r="G75" s="7" t="s">
        <v>47</v>
      </c>
      <c r="H75" s="9">
        <v>43951.0</v>
      </c>
      <c r="I75" s="7">
        <v>1.0</v>
      </c>
      <c r="J75" s="7" t="s">
        <v>35</v>
      </c>
      <c r="K75" s="7" t="s">
        <v>147</v>
      </c>
      <c r="L75" s="7">
        <v>4.145205479452055</v>
      </c>
      <c r="M75" s="7" t="s">
        <v>39</v>
      </c>
    </row>
    <row r="76" ht="14.25" customHeight="1">
      <c r="A76" s="7" t="s">
        <v>440</v>
      </c>
      <c r="B76" s="7" t="s">
        <v>441</v>
      </c>
      <c r="C76" s="7" t="s">
        <v>442</v>
      </c>
      <c r="D76" s="7" t="s">
        <v>30</v>
      </c>
      <c r="E76" s="7" t="s">
        <v>212</v>
      </c>
      <c r="F76" s="7">
        <v>83191.95</v>
      </c>
      <c r="G76" s="7" t="s">
        <v>47</v>
      </c>
      <c r="H76" s="9">
        <v>43700.0</v>
      </c>
      <c r="I76" s="7">
        <v>0.6</v>
      </c>
      <c r="J76" s="7" t="s">
        <v>156</v>
      </c>
      <c r="K76" s="7" t="s">
        <v>36</v>
      </c>
      <c r="L76" s="7">
        <v>4.832876712328767</v>
      </c>
      <c r="M76" s="7" t="s">
        <v>51</v>
      </c>
    </row>
    <row r="77" ht="14.25" customHeight="1">
      <c r="A77" s="7" t="s">
        <v>443</v>
      </c>
      <c r="B77" s="7" t="s">
        <v>444</v>
      </c>
      <c r="C77" s="7" t="s">
        <v>445</v>
      </c>
      <c r="D77" s="7" t="s">
        <v>30</v>
      </c>
      <c r="E77" s="7" t="s">
        <v>254</v>
      </c>
      <c r="F77" s="7">
        <v>106775.14</v>
      </c>
      <c r="G77" s="7" t="s">
        <v>32</v>
      </c>
      <c r="H77" s="9">
        <v>43563.0</v>
      </c>
      <c r="I77" s="7">
        <v>1.0</v>
      </c>
      <c r="J77" s="7" t="s">
        <v>67</v>
      </c>
      <c r="K77" s="7" t="s">
        <v>74</v>
      </c>
      <c r="L77" s="7">
        <v>5.208219178082191</v>
      </c>
      <c r="M77" s="7" t="s">
        <v>39</v>
      </c>
    </row>
    <row r="78" ht="14.25" customHeight="1">
      <c r="A78" s="7" t="s">
        <v>446</v>
      </c>
      <c r="B78" s="7" t="s">
        <v>447</v>
      </c>
      <c r="C78" s="7" t="s">
        <v>448</v>
      </c>
      <c r="D78" s="7" t="s">
        <v>30</v>
      </c>
      <c r="E78" s="7" t="s">
        <v>155</v>
      </c>
      <c r="F78" s="7">
        <v>83396.5</v>
      </c>
      <c r="G78" s="7" t="s">
        <v>47</v>
      </c>
      <c r="H78" s="9">
        <v>44285.0</v>
      </c>
      <c r="I78" s="7">
        <v>1.0</v>
      </c>
      <c r="J78" s="7" t="s">
        <v>156</v>
      </c>
      <c r="K78" s="7" t="s">
        <v>158</v>
      </c>
      <c r="L78" s="7">
        <v>3.23013698630137</v>
      </c>
      <c r="M78" s="7" t="s">
        <v>39</v>
      </c>
    </row>
    <row r="79" ht="14.25" customHeight="1">
      <c r="A79" s="7" t="s">
        <v>449</v>
      </c>
      <c r="B79" s="7" t="s">
        <v>450</v>
      </c>
      <c r="C79" s="7" t="s">
        <v>451</v>
      </c>
      <c r="D79" s="7" t="s">
        <v>30</v>
      </c>
      <c r="E79" s="7" t="s">
        <v>266</v>
      </c>
      <c r="F79" s="7">
        <v>28481.16</v>
      </c>
      <c r="G79" s="7" t="s">
        <v>130</v>
      </c>
      <c r="H79" s="9">
        <v>44228.0</v>
      </c>
      <c r="I79" s="7">
        <v>1.0</v>
      </c>
      <c r="J79" s="7" t="s">
        <v>156</v>
      </c>
      <c r="K79" s="7" t="s">
        <v>172</v>
      </c>
      <c r="L79" s="7">
        <v>3.3863013698630136</v>
      </c>
      <c r="M79" s="7" t="s">
        <v>39</v>
      </c>
    </row>
    <row r="80" ht="14.25" customHeight="1">
      <c r="A80" s="7" t="s">
        <v>452</v>
      </c>
      <c r="B80" s="7" t="s">
        <v>453</v>
      </c>
      <c r="C80" s="7" t="s">
        <v>454</v>
      </c>
      <c r="D80" s="7" t="s">
        <v>30</v>
      </c>
      <c r="E80" s="7" t="s">
        <v>212</v>
      </c>
      <c r="F80" s="7">
        <v>32192.15</v>
      </c>
      <c r="G80" s="7" t="s">
        <v>130</v>
      </c>
      <c r="H80" s="9">
        <v>44473.0</v>
      </c>
      <c r="I80" s="7">
        <v>1.0</v>
      </c>
      <c r="J80" s="7" t="s">
        <v>35</v>
      </c>
      <c r="K80" s="7" t="s">
        <v>74</v>
      </c>
      <c r="L80" s="7">
        <v>2.7150684931506848</v>
      </c>
      <c r="M80" s="7" t="s">
        <v>39</v>
      </c>
    </row>
    <row r="81" ht="14.25" customHeight="1">
      <c r="A81" s="7" t="s">
        <v>455</v>
      </c>
      <c r="B81" s="7" t="s">
        <v>456</v>
      </c>
      <c r="C81" s="7" t="s">
        <v>457</v>
      </c>
      <c r="D81" s="7" t="s">
        <v>30</v>
      </c>
      <c r="E81" s="7" t="s">
        <v>31</v>
      </c>
      <c r="F81" s="7">
        <v>112645.99</v>
      </c>
      <c r="G81" s="7" t="s">
        <v>32</v>
      </c>
      <c r="H81" s="9">
        <v>43759.0</v>
      </c>
      <c r="I81" s="7">
        <v>0.6</v>
      </c>
      <c r="J81" s="7" t="s">
        <v>35</v>
      </c>
      <c r="K81" s="7" t="s">
        <v>50</v>
      </c>
      <c r="L81" s="7">
        <v>4.671232876712328</v>
      </c>
      <c r="M81" s="7" t="s">
        <v>51</v>
      </c>
    </row>
    <row r="82" ht="14.25" customHeight="1">
      <c r="A82" s="7" t="s">
        <v>458</v>
      </c>
      <c r="B82" s="7" t="s">
        <v>459</v>
      </c>
      <c r="C82" s="7" t="s">
        <v>460</v>
      </c>
      <c r="D82" s="7" t="s">
        <v>90</v>
      </c>
      <c r="E82" s="7" t="s">
        <v>109</v>
      </c>
      <c r="F82" s="7">
        <v>107107.6</v>
      </c>
      <c r="G82" s="7" t="s">
        <v>32</v>
      </c>
      <c r="H82" s="9">
        <v>43325.0</v>
      </c>
      <c r="I82" s="7">
        <v>0.9</v>
      </c>
      <c r="J82" s="7" t="s">
        <v>35</v>
      </c>
      <c r="K82" s="7" t="s">
        <v>172</v>
      </c>
      <c r="L82" s="7">
        <v>5.86027397260274</v>
      </c>
      <c r="M82" s="7" t="s">
        <v>51</v>
      </c>
    </row>
    <row r="83" ht="14.25" customHeight="1">
      <c r="A83" s="7" t="s">
        <v>461</v>
      </c>
      <c r="B83" s="7" t="s">
        <v>462</v>
      </c>
      <c r="C83" s="7" t="s">
        <v>463</v>
      </c>
      <c r="D83" s="7" t="s">
        <v>45</v>
      </c>
      <c r="E83" s="7" t="s">
        <v>46</v>
      </c>
      <c r="F83" s="7">
        <v>80695.74</v>
      </c>
      <c r="G83" s="7" t="s">
        <v>47</v>
      </c>
      <c r="H83" s="9">
        <v>43787.0</v>
      </c>
      <c r="I83" s="7">
        <v>0.8</v>
      </c>
      <c r="J83" s="7" t="s">
        <v>35</v>
      </c>
      <c r="K83" s="7" t="s">
        <v>147</v>
      </c>
      <c r="L83" s="7">
        <v>4.594520547945206</v>
      </c>
      <c r="M83" s="7" t="s">
        <v>51</v>
      </c>
    </row>
    <row r="84" ht="14.25" customHeight="1">
      <c r="A84" s="7" t="s">
        <v>465</v>
      </c>
      <c r="B84" s="7" t="s">
        <v>466</v>
      </c>
      <c r="C84" s="7" t="s">
        <v>467</v>
      </c>
      <c r="D84" s="7" t="s">
        <v>45</v>
      </c>
      <c r="E84" s="7" t="s">
        <v>254</v>
      </c>
      <c r="F84" s="7">
        <v>75475.93</v>
      </c>
      <c r="G84" s="7" t="s">
        <v>47</v>
      </c>
      <c r="H84" s="9">
        <v>43794.0</v>
      </c>
      <c r="I84" s="7">
        <v>1.0</v>
      </c>
      <c r="J84" s="7" t="s">
        <v>35</v>
      </c>
      <c r="K84" s="7" t="s">
        <v>36</v>
      </c>
      <c r="L84" s="7">
        <v>4.575342465753424</v>
      </c>
      <c r="M84" s="7" t="s">
        <v>39</v>
      </c>
    </row>
    <row r="85" ht="14.25" customHeight="1">
      <c r="A85" s="7" t="s">
        <v>469</v>
      </c>
      <c r="B85" s="7" t="s">
        <v>470</v>
      </c>
      <c r="C85" s="7" t="s">
        <v>471</v>
      </c>
      <c r="D85" s="7" t="s">
        <v>45</v>
      </c>
      <c r="E85" s="7" t="s">
        <v>46</v>
      </c>
      <c r="F85" s="7">
        <v>86558.58</v>
      </c>
      <c r="G85" s="7" t="s">
        <v>47</v>
      </c>
      <c r="H85" s="9">
        <v>43887.0</v>
      </c>
      <c r="I85" s="7">
        <v>1.0</v>
      </c>
      <c r="J85" s="7" t="s">
        <v>67</v>
      </c>
      <c r="K85" s="7" t="s">
        <v>36</v>
      </c>
      <c r="L85" s="7">
        <v>4.32054794520548</v>
      </c>
      <c r="M85" s="7" t="s">
        <v>39</v>
      </c>
    </row>
    <row r="86" ht="14.25" customHeight="1">
      <c r="A86" s="7" t="s">
        <v>472</v>
      </c>
      <c r="B86" s="7" t="s">
        <v>473</v>
      </c>
      <c r="C86" s="7" t="s">
        <v>474</v>
      </c>
      <c r="D86" s="7" t="s">
        <v>45</v>
      </c>
      <c r="E86" s="7" t="s">
        <v>115</v>
      </c>
      <c r="F86" s="7">
        <v>84309.95</v>
      </c>
      <c r="G86" s="7" t="s">
        <v>47</v>
      </c>
      <c r="H86" s="9">
        <v>44501.0</v>
      </c>
      <c r="I86" s="7">
        <v>1.0</v>
      </c>
      <c r="J86" s="7" t="s">
        <v>35</v>
      </c>
      <c r="K86" s="7" t="s">
        <v>36</v>
      </c>
      <c r="L86" s="7">
        <v>2.638356164383562</v>
      </c>
      <c r="M86" s="7" t="s">
        <v>39</v>
      </c>
    </row>
    <row r="87" ht="14.25" customHeight="1">
      <c r="A87" s="7" t="s">
        <v>475</v>
      </c>
      <c r="B87" s="7" t="s">
        <v>476</v>
      </c>
      <c r="C87" s="7" t="s">
        <v>477</v>
      </c>
      <c r="D87" s="7" t="s">
        <v>30</v>
      </c>
      <c r="E87" s="7" t="s">
        <v>109</v>
      </c>
      <c r="F87" s="7">
        <v>91645.04</v>
      </c>
      <c r="G87" s="7" t="s">
        <v>47</v>
      </c>
      <c r="H87" s="9">
        <v>44223.0</v>
      </c>
      <c r="I87" s="7">
        <v>1.0</v>
      </c>
      <c r="J87" s="7" t="s">
        <v>35</v>
      </c>
      <c r="K87" s="7" t="s">
        <v>158</v>
      </c>
      <c r="L87" s="7">
        <v>3.4</v>
      </c>
      <c r="M87" s="7" t="s">
        <v>39</v>
      </c>
    </row>
    <row r="88" ht="14.25" customHeight="1">
      <c r="A88" s="7" t="s">
        <v>478</v>
      </c>
      <c r="B88" s="7" t="s">
        <v>479</v>
      </c>
      <c r="C88" s="7" t="s">
        <v>480</v>
      </c>
      <c r="D88" s="7" t="s">
        <v>45</v>
      </c>
      <c r="E88" s="7" t="s">
        <v>65</v>
      </c>
      <c r="F88" s="7">
        <v>101187.36</v>
      </c>
      <c r="G88" s="7" t="s">
        <v>32</v>
      </c>
      <c r="H88" s="9">
        <v>43258.0</v>
      </c>
      <c r="I88" s="7">
        <v>1.0</v>
      </c>
      <c r="J88" s="7" t="s">
        <v>67</v>
      </c>
      <c r="K88" s="7" t="s">
        <v>147</v>
      </c>
      <c r="L88" s="7">
        <v>6.043835616438356</v>
      </c>
      <c r="M88" s="7" t="s">
        <v>39</v>
      </c>
    </row>
    <row r="89" ht="14.25" customHeight="1">
      <c r="A89" s="7" t="s">
        <v>343</v>
      </c>
      <c r="B89" s="7" t="s">
        <v>344</v>
      </c>
      <c r="C89" s="7" t="s">
        <v>345</v>
      </c>
      <c r="D89" s="7" t="s">
        <v>30</v>
      </c>
      <c r="E89" s="7" t="s">
        <v>46</v>
      </c>
      <c r="F89" s="7">
        <v>80169.42</v>
      </c>
      <c r="G89" s="7" t="s">
        <v>47</v>
      </c>
      <c r="H89" s="9">
        <v>44053.0</v>
      </c>
      <c r="I89" s="7">
        <v>1.0</v>
      </c>
      <c r="J89" s="7" t="s">
        <v>35</v>
      </c>
      <c r="K89" s="7" t="s">
        <v>158</v>
      </c>
      <c r="L89" s="7">
        <v>3.8657534246575342</v>
      </c>
      <c r="M89" s="7" t="s">
        <v>39</v>
      </c>
    </row>
    <row r="90" ht="14.25" customHeight="1">
      <c r="A90" s="7" t="s">
        <v>481</v>
      </c>
      <c r="B90" s="7" t="s">
        <v>482</v>
      </c>
      <c r="C90" s="7" t="s">
        <v>483</v>
      </c>
      <c r="D90" s="7" t="s">
        <v>45</v>
      </c>
      <c r="E90" s="7" t="s">
        <v>91</v>
      </c>
      <c r="F90" s="7">
        <v>104038.9</v>
      </c>
      <c r="G90" s="7" t="s">
        <v>32</v>
      </c>
      <c r="H90" s="9">
        <v>43815.0</v>
      </c>
      <c r="I90" s="7">
        <v>1.0</v>
      </c>
      <c r="J90" s="7" t="s">
        <v>67</v>
      </c>
      <c r="K90" s="7" t="s">
        <v>36</v>
      </c>
      <c r="L90" s="7">
        <v>4.517808219178082</v>
      </c>
      <c r="M90" s="7" t="s">
        <v>39</v>
      </c>
    </row>
    <row r="91" ht="14.25" customHeight="1">
      <c r="A91" s="7" t="s">
        <v>484</v>
      </c>
      <c r="B91" s="7" t="s">
        <v>485</v>
      </c>
      <c r="C91" s="7" t="s">
        <v>486</v>
      </c>
      <c r="D91" s="7" t="s">
        <v>45</v>
      </c>
      <c r="E91" s="7" t="s">
        <v>115</v>
      </c>
      <c r="F91" s="7">
        <v>99683.67</v>
      </c>
      <c r="G91" s="7" t="s">
        <v>47</v>
      </c>
      <c r="H91" s="9">
        <v>43500.0</v>
      </c>
      <c r="I91" s="7">
        <v>1.0</v>
      </c>
      <c r="J91" s="7" t="s">
        <v>67</v>
      </c>
      <c r="K91" s="7" t="s">
        <v>50</v>
      </c>
      <c r="L91" s="7">
        <v>5.380821917808219</v>
      </c>
      <c r="M91" s="7" t="s">
        <v>39</v>
      </c>
    </row>
    <row r="92" ht="14.25" customHeight="1">
      <c r="A92" s="7" t="s">
        <v>487</v>
      </c>
      <c r="B92" s="7" t="s">
        <v>488</v>
      </c>
      <c r="C92" s="7" t="s">
        <v>489</v>
      </c>
      <c r="D92" s="7" t="s">
        <v>30</v>
      </c>
      <c r="E92" s="7" t="s">
        <v>31</v>
      </c>
      <c r="F92" s="7">
        <v>47362.62</v>
      </c>
      <c r="G92" s="7" t="s">
        <v>130</v>
      </c>
      <c r="H92" s="9">
        <v>43973.0</v>
      </c>
      <c r="I92" s="7">
        <v>1.0</v>
      </c>
      <c r="J92" s="7" t="s">
        <v>156</v>
      </c>
      <c r="K92" s="7" t="s">
        <v>36</v>
      </c>
      <c r="L92" s="7">
        <v>4.0849315068493155</v>
      </c>
      <c r="M92" s="7" t="s">
        <v>39</v>
      </c>
    </row>
    <row r="93" ht="14.25" customHeight="1">
      <c r="A93" s="7" t="s">
        <v>490</v>
      </c>
      <c r="B93" s="7" t="s">
        <v>491</v>
      </c>
      <c r="C93" s="7" t="s">
        <v>492</v>
      </c>
      <c r="D93" s="7" t="s">
        <v>45</v>
      </c>
      <c r="E93" s="7" t="s">
        <v>46</v>
      </c>
      <c r="F93" s="7">
        <v>70649.46</v>
      </c>
      <c r="G93" s="7" t="s">
        <v>47</v>
      </c>
      <c r="H93" s="9">
        <v>43843.0</v>
      </c>
      <c r="I93" s="7">
        <v>1.0</v>
      </c>
      <c r="J93" s="7" t="s">
        <v>35</v>
      </c>
      <c r="K93" s="7" t="s">
        <v>74</v>
      </c>
      <c r="L93" s="7">
        <v>4.441095890410959</v>
      </c>
      <c r="M93" s="7" t="s">
        <v>39</v>
      </c>
    </row>
    <row r="94" ht="14.25" customHeight="1">
      <c r="A94" s="7" t="s">
        <v>493</v>
      </c>
      <c r="B94" s="7" t="s">
        <v>494</v>
      </c>
      <c r="C94" s="7" t="s">
        <v>495</v>
      </c>
      <c r="D94" s="7" t="s">
        <v>45</v>
      </c>
      <c r="E94" s="7" t="s">
        <v>266</v>
      </c>
      <c r="F94" s="7">
        <v>75733.74</v>
      </c>
      <c r="G94" s="7" t="s">
        <v>47</v>
      </c>
      <c r="H94" s="9">
        <v>44382.0</v>
      </c>
      <c r="I94" s="7">
        <v>1.0</v>
      </c>
      <c r="J94" s="7" t="s">
        <v>35</v>
      </c>
      <c r="K94" s="7" t="s">
        <v>74</v>
      </c>
      <c r="L94" s="7">
        <v>2.9643835616438357</v>
      </c>
      <c r="M94" s="7" t="s">
        <v>39</v>
      </c>
    </row>
    <row r="95" ht="14.25" customHeight="1">
      <c r="A95" s="7" t="s">
        <v>496</v>
      </c>
      <c r="B95" s="7" t="s">
        <v>497</v>
      </c>
      <c r="C95" s="7" t="s">
        <v>498</v>
      </c>
      <c r="D95" s="7" t="s">
        <v>45</v>
      </c>
      <c r="E95" s="7" t="s">
        <v>109</v>
      </c>
      <c r="F95" s="7">
        <v>71823.56</v>
      </c>
      <c r="G95" s="7" t="s">
        <v>47</v>
      </c>
      <c r="H95" s="9">
        <v>43374.0</v>
      </c>
      <c r="I95" s="7">
        <v>0.3</v>
      </c>
      <c r="J95" s="7" t="s">
        <v>156</v>
      </c>
      <c r="K95" s="7" t="s">
        <v>36</v>
      </c>
      <c r="L95" s="7">
        <v>5.726027397260274</v>
      </c>
      <c r="M95" s="7" t="s">
        <v>51</v>
      </c>
    </row>
    <row r="96" ht="14.25" customHeight="1">
      <c r="A96" s="7" t="s">
        <v>499</v>
      </c>
      <c r="B96" s="7" t="s">
        <v>500</v>
      </c>
      <c r="C96" s="7" t="s">
        <v>501</v>
      </c>
      <c r="D96" s="7" t="s">
        <v>45</v>
      </c>
      <c r="E96" s="7" t="s">
        <v>212</v>
      </c>
      <c r="F96" s="7">
        <v>41934.71</v>
      </c>
      <c r="G96" s="7" t="s">
        <v>130</v>
      </c>
      <c r="H96" s="9">
        <v>43943.0</v>
      </c>
      <c r="I96" s="7">
        <v>1.0</v>
      </c>
      <c r="J96" s="7" t="s">
        <v>35</v>
      </c>
      <c r="K96" s="7" t="s">
        <v>36</v>
      </c>
      <c r="L96" s="7">
        <v>4.167123287671233</v>
      </c>
      <c r="M96" s="7" t="s">
        <v>39</v>
      </c>
    </row>
    <row r="97" ht="14.25" customHeight="1">
      <c r="A97" s="7" t="s">
        <v>502</v>
      </c>
      <c r="B97" s="7" t="s">
        <v>504</v>
      </c>
      <c r="C97" s="7" t="s">
        <v>505</v>
      </c>
      <c r="D97" s="7" t="s">
        <v>30</v>
      </c>
      <c r="E97" s="7" t="s">
        <v>266</v>
      </c>
      <c r="F97" s="7">
        <v>66572.58</v>
      </c>
      <c r="G97" s="7" t="s">
        <v>47</v>
      </c>
      <c r="H97" s="9">
        <v>44193.0</v>
      </c>
      <c r="I97" s="7">
        <v>1.0</v>
      </c>
      <c r="J97" s="7" t="s">
        <v>35</v>
      </c>
      <c r="K97" s="7" t="s">
        <v>172</v>
      </c>
      <c r="L97" s="7">
        <v>3.4821917808219176</v>
      </c>
      <c r="M97" s="7" t="s">
        <v>39</v>
      </c>
    </row>
    <row r="98" ht="14.25" customHeight="1">
      <c r="A98" s="7" t="s">
        <v>506</v>
      </c>
      <c r="B98" s="7" t="s">
        <v>507</v>
      </c>
      <c r="C98" s="7" t="s">
        <v>508</v>
      </c>
      <c r="D98" s="7" t="s">
        <v>30</v>
      </c>
      <c r="E98" s="7" t="s">
        <v>103</v>
      </c>
      <c r="F98" s="7">
        <v>76932.6</v>
      </c>
      <c r="G98" s="7" t="s">
        <v>47</v>
      </c>
      <c r="H98" s="9">
        <v>43493.0</v>
      </c>
      <c r="I98" s="7">
        <v>1.0</v>
      </c>
      <c r="J98" s="7" t="s">
        <v>35</v>
      </c>
      <c r="K98" s="7" t="s">
        <v>74</v>
      </c>
      <c r="L98" s="7">
        <v>5.4</v>
      </c>
      <c r="M98" s="7" t="s">
        <v>39</v>
      </c>
    </row>
    <row r="99" ht="14.25" customHeight="1">
      <c r="A99" s="7" t="s">
        <v>509</v>
      </c>
      <c r="B99" s="7" t="s">
        <v>510</v>
      </c>
      <c r="C99" s="7" t="s">
        <v>511</v>
      </c>
      <c r="D99" s="7" t="s">
        <v>30</v>
      </c>
      <c r="E99" s="7" t="s">
        <v>91</v>
      </c>
      <c r="F99" s="7">
        <v>59258.19</v>
      </c>
      <c r="G99" s="7" t="s">
        <v>47</v>
      </c>
      <c r="H99" s="9">
        <v>43452.0</v>
      </c>
      <c r="I99" s="7">
        <v>0.8</v>
      </c>
      <c r="J99" s="7" t="s">
        <v>35</v>
      </c>
      <c r="K99" s="7" t="s">
        <v>50</v>
      </c>
      <c r="L99" s="7">
        <v>5.512328767123288</v>
      </c>
      <c r="M99" s="7" t="s">
        <v>51</v>
      </c>
    </row>
    <row r="100" ht="14.25" customHeight="1">
      <c r="A100" s="7" t="s">
        <v>512</v>
      </c>
      <c r="B100" s="7" t="s">
        <v>513</v>
      </c>
      <c r="C100" s="7" t="s">
        <v>514</v>
      </c>
      <c r="D100" s="7" t="s">
        <v>30</v>
      </c>
      <c r="E100" s="7" t="s">
        <v>65</v>
      </c>
      <c r="F100" s="7">
        <v>112778.28</v>
      </c>
      <c r="G100" s="7" t="s">
        <v>32</v>
      </c>
      <c r="H100" s="9">
        <v>43250.0</v>
      </c>
      <c r="I100" s="7">
        <v>1.0</v>
      </c>
      <c r="J100" s="7" t="s">
        <v>67</v>
      </c>
      <c r="K100" s="7" t="s">
        <v>36</v>
      </c>
      <c r="L100" s="7">
        <v>6.065753424657534</v>
      </c>
      <c r="M100" s="7" t="s">
        <v>39</v>
      </c>
    </row>
    <row r="101" ht="14.25" customHeight="1">
      <c r="A101" s="7" t="s">
        <v>515</v>
      </c>
      <c r="B101" s="7" t="s">
        <v>516</v>
      </c>
      <c r="C101" s="7" t="s">
        <v>517</v>
      </c>
      <c r="D101" s="7" t="s">
        <v>45</v>
      </c>
      <c r="E101" s="7" t="s">
        <v>109</v>
      </c>
      <c r="F101" s="7">
        <v>44845.33</v>
      </c>
      <c r="G101" s="7" t="s">
        <v>130</v>
      </c>
      <c r="H101" s="9">
        <v>43277.0</v>
      </c>
      <c r="I101" s="7">
        <v>1.0</v>
      </c>
      <c r="J101" s="7" t="s">
        <v>35</v>
      </c>
      <c r="K101" s="7" t="s">
        <v>50</v>
      </c>
      <c r="L101" s="7">
        <v>5.991780821917808</v>
      </c>
      <c r="M101" s="7" t="s">
        <v>39</v>
      </c>
    </row>
    <row r="102" ht="14.25" customHeight="1">
      <c r="A102" s="7" t="s">
        <v>518</v>
      </c>
      <c r="B102" s="7" t="s">
        <v>519</v>
      </c>
      <c r="C102" s="7" t="s">
        <v>520</v>
      </c>
      <c r="D102" s="7" t="s">
        <v>30</v>
      </c>
      <c r="E102" s="7" t="s">
        <v>254</v>
      </c>
      <c r="F102" s="7">
        <v>115191.38</v>
      </c>
      <c r="G102" s="7" t="s">
        <v>32</v>
      </c>
      <c r="H102" s="9">
        <v>44004.0</v>
      </c>
      <c r="I102" s="7">
        <v>1.0</v>
      </c>
      <c r="J102" s="7" t="s">
        <v>35</v>
      </c>
      <c r="K102" s="7" t="s">
        <v>74</v>
      </c>
      <c r="L102" s="7">
        <v>4.0</v>
      </c>
      <c r="M102" s="7" t="s">
        <v>39</v>
      </c>
    </row>
    <row r="103" ht="14.25" customHeight="1">
      <c r="A103" s="7" t="s">
        <v>522</v>
      </c>
      <c r="B103" s="7" t="s">
        <v>523</v>
      </c>
      <c r="C103" s="7" t="s">
        <v>524</v>
      </c>
      <c r="D103" s="7" t="s">
        <v>45</v>
      </c>
      <c r="E103" s="7" t="s">
        <v>266</v>
      </c>
      <c r="F103" s="7">
        <v>111049.84</v>
      </c>
      <c r="G103" s="7" t="s">
        <v>32</v>
      </c>
      <c r="H103" s="9">
        <v>44393.0</v>
      </c>
      <c r="I103" s="7">
        <v>1.0</v>
      </c>
      <c r="J103" s="7" t="s">
        <v>35</v>
      </c>
      <c r="K103" s="7" t="s">
        <v>84</v>
      </c>
      <c r="L103" s="7">
        <v>2.9342465753424656</v>
      </c>
      <c r="M103" s="7" t="s">
        <v>39</v>
      </c>
    </row>
    <row r="104" ht="14.25" customHeight="1">
      <c r="A104" s="7" t="s">
        <v>528</v>
      </c>
      <c r="B104" s="7" t="s">
        <v>529</v>
      </c>
      <c r="C104" s="7" t="s">
        <v>530</v>
      </c>
      <c r="D104" s="7" t="s">
        <v>45</v>
      </c>
      <c r="E104" s="7" t="s">
        <v>91</v>
      </c>
      <c r="F104" s="7">
        <v>75974.99</v>
      </c>
      <c r="G104" s="7" t="s">
        <v>47</v>
      </c>
      <c r="H104" s="9">
        <v>44172.0</v>
      </c>
      <c r="I104" s="7">
        <v>1.0</v>
      </c>
      <c r="J104" s="7" t="s">
        <v>35</v>
      </c>
      <c r="K104" s="7" t="s">
        <v>36</v>
      </c>
      <c r="L104" s="7">
        <v>3.5397260273972604</v>
      </c>
      <c r="M104" s="7" t="s">
        <v>39</v>
      </c>
    </row>
    <row r="105" ht="14.25" customHeight="1">
      <c r="A105" s="7" t="s">
        <v>532</v>
      </c>
      <c r="B105" s="7" t="s">
        <v>533</v>
      </c>
      <c r="C105" s="7" t="s">
        <v>534</v>
      </c>
      <c r="D105" s="7" t="s">
        <v>45</v>
      </c>
      <c r="E105" s="7" t="s">
        <v>57</v>
      </c>
      <c r="F105" s="7">
        <v>42161.77</v>
      </c>
      <c r="G105" s="7" t="s">
        <v>130</v>
      </c>
      <c r="H105" s="9">
        <v>43494.0</v>
      </c>
      <c r="I105" s="7">
        <v>1.0</v>
      </c>
      <c r="J105" s="7" t="s">
        <v>35</v>
      </c>
      <c r="K105" s="7" t="s">
        <v>158</v>
      </c>
      <c r="L105" s="7">
        <v>5.397260273972603</v>
      </c>
      <c r="M105" s="7" t="s">
        <v>39</v>
      </c>
    </row>
    <row r="106" ht="14.25" customHeight="1">
      <c r="A106" s="7" t="s">
        <v>535</v>
      </c>
      <c r="B106" s="7" t="s">
        <v>536</v>
      </c>
      <c r="C106" s="7" t="s">
        <v>537</v>
      </c>
      <c r="D106" s="7" t="s">
        <v>30</v>
      </c>
      <c r="E106" s="7" t="s">
        <v>46</v>
      </c>
      <c r="F106" s="7">
        <v>71371.37</v>
      </c>
      <c r="G106" s="7" t="s">
        <v>47</v>
      </c>
      <c r="H106" s="9">
        <v>43392.0</v>
      </c>
      <c r="I106" s="7">
        <v>1.0</v>
      </c>
      <c r="J106" s="7" t="s">
        <v>35</v>
      </c>
      <c r="K106" s="7" t="s">
        <v>74</v>
      </c>
      <c r="L106" s="7">
        <v>5.676712328767123</v>
      </c>
      <c r="M106" s="7" t="s">
        <v>39</v>
      </c>
    </row>
    <row r="107" ht="14.25" customHeight="1">
      <c r="A107" s="7" t="s">
        <v>538</v>
      </c>
      <c r="B107" s="7" t="s">
        <v>539</v>
      </c>
      <c r="C107" s="7" t="s">
        <v>540</v>
      </c>
      <c r="D107" s="7" t="s">
        <v>30</v>
      </c>
      <c r="E107" s="7" t="s">
        <v>109</v>
      </c>
      <c r="F107" s="7">
        <v>49915.14</v>
      </c>
      <c r="G107" s="7" t="s">
        <v>130</v>
      </c>
      <c r="H107" s="9">
        <v>43550.0</v>
      </c>
      <c r="I107" s="7">
        <v>1.0</v>
      </c>
      <c r="J107" s="7" t="s">
        <v>35</v>
      </c>
      <c r="K107" s="7" t="s">
        <v>36</v>
      </c>
      <c r="L107" s="7">
        <v>5.243835616438356</v>
      </c>
      <c r="M107" s="7" t="s">
        <v>39</v>
      </c>
    </row>
    <row r="108" ht="14.25" customHeight="1">
      <c r="A108" s="7" t="s">
        <v>542</v>
      </c>
      <c r="B108" s="7" t="s">
        <v>543</v>
      </c>
      <c r="C108" s="7" t="s">
        <v>544</v>
      </c>
      <c r="D108" s="7" t="s">
        <v>30</v>
      </c>
      <c r="E108" s="7" t="s">
        <v>91</v>
      </c>
      <c r="F108" s="7">
        <v>37062.1</v>
      </c>
      <c r="G108" s="7" t="s">
        <v>130</v>
      </c>
      <c r="H108" s="9">
        <v>44357.0</v>
      </c>
      <c r="I108" s="7">
        <v>1.0</v>
      </c>
      <c r="J108" s="7" t="s">
        <v>156</v>
      </c>
      <c r="K108" s="7" t="s">
        <v>172</v>
      </c>
      <c r="L108" s="7">
        <v>3.032876712328767</v>
      </c>
      <c r="M108" s="7" t="s">
        <v>39</v>
      </c>
    </row>
    <row r="109" ht="14.25" customHeight="1">
      <c r="A109" s="7" t="s">
        <v>268</v>
      </c>
      <c r="B109" s="7" t="s">
        <v>269</v>
      </c>
      <c r="C109" s="7" t="s">
        <v>270</v>
      </c>
      <c r="D109" s="7" t="s">
        <v>30</v>
      </c>
      <c r="E109" s="7" t="s">
        <v>46</v>
      </c>
      <c r="F109" s="7">
        <v>90884.32</v>
      </c>
      <c r="G109" s="7" t="s">
        <v>47</v>
      </c>
      <c r="H109" s="9">
        <v>43826.0</v>
      </c>
      <c r="I109" s="7">
        <v>1.0</v>
      </c>
      <c r="J109" s="7" t="s">
        <v>35</v>
      </c>
      <c r="K109" s="7" t="s">
        <v>147</v>
      </c>
      <c r="L109" s="7">
        <v>4.487671232876712</v>
      </c>
      <c r="M109" s="7" t="s">
        <v>39</v>
      </c>
    </row>
    <row r="110" ht="14.25" customHeight="1">
      <c r="A110" s="7" t="s">
        <v>546</v>
      </c>
      <c r="B110" s="7" t="s">
        <v>547</v>
      </c>
      <c r="C110" s="7" t="s">
        <v>548</v>
      </c>
      <c r="D110" s="7" t="s">
        <v>30</v>
      </c>
      <c r="E110" s="7" t="s">
        <v>266</v>
      </c>
      <c r="F110" s="7">
        <v>89838.77</v>
      </c>
      <c r="G110" s="7" t="s">
        <v>47</v>
      </c>
      <c r="H110" s="9">
        <v>43602.0</v>
      </c>
      <c r="I110" s="7">
        <v>1.0</v>
      </c>
      <c r="J110" s="7" t="s">
        <v>35</v>
      </c>
      <c r="K110" s="7" t="s">
        <v>36</v>
      </c>
      <c r="L110" s="7">
        <v>5.101369863013699</v>
      </c>
      <c r="M110" s="7" t="s">
        <v>39</v>
      </c>
    </row>
    <row r="111" ht="14.25" customHeight="1">
      <c r="A111" s="7" t="s">
        <v>549</v>
      </c>
      <c r="B111" s="7" t="s">
        <v>550</v>
      </c>
      <c r="C111" s="7" t="s">
        <v>551</v>
      </c>
      <c r="D111" s="7" t="s">
        <v>45</v>
      </c>
      <c r="E111" s="7" t="s">
        <v>109</v>
      </c>
      <c r="F111" s="7">
        <v>68887.84</v>
      </c>
      <c r="G111" s="7" t="s">
        <v>47</v>
      </c>
      <c r="H111" s="9">
        <v>43297.0</v>
      </c>
      <c r="I111" s="7">
        <v>1.0</v>
      </c>
      <c r="J111" s="7" t="s">
        <v>35</v>
      </c>
      <c r="K111" s="7" t="s">
        <v>36</v>
      </c>
      <c r="L111" s="7">
        <v>5.936986301369863</v>
      </c>
      <c r="M111" s="7" t="s">
        <v>39</v>
      </c>
    </row>
    <row r="112" ht="14.25" customHeight="1">
      <c r="A112" s="7" t="s">
        <v>443</v>
      </c>
      <c r="B112" s="7" t="s">
        <v>552</v>
      </c>
      <c r="C112" s="7" t="s">
        <v>553</v>
      </c>
      <c r="D112" s="7" t="s">
        <v>30</v>
      </c>
      <c r="E112" s="7" t="s">
        <v>254</v>
      </c>
      <c r="F112" s="7">
        <v>106775.14</v>
      </c>
      <c r="G112" s="7" t="s">
        <v>32</v>
      </c>
      <c r="H112" s="9">
        <v>43563.0</v>
      </c>
      <c r="I112" s="7">
        <v>1.0</v>
      </c>
      <c r="J112" s="7" t="s">
        <v>67</v>
      </c>
      <c r="K112" s="7" t="s">
        <v>74</v>
      </c>
      <c r="L112" s="7">
        <v>5.208219178082191</v>
      </c>
      <c r="M112" s="7" t="s">
        <v>39</v>
      </c>
    </row>
    <row r="113" ht="14.25" customHeight="1">
      <c r="A113" s="7" t="s">
        <v>554</v>
      </c>
      <c r="B113" s="7" t="s">
        <v>555</v>
      </c>
      <c r="C113" s="7" t="s">
        <v>556</v>
      </c>
      <c r="D113" s="7" t="s">
        <v>45</v>
      </c>
      <c r="E113" s="7" t="s">
        <v>57</v>
      </c>
      <c r="F113" s="7">
        <v>89690.38</v>
      </c>
      <c r="G113" s="7" t="s">
        <v>47</v>
      </c>
      <c r="H113" s="9">
        <v>43213.0</v>
      </c>
      <c r="I113" s="7">
        <v>1.0</v>
      </c>
      <c r="J113" s="7" t="s">
        <v>35</v>
      </c>
      <c r="K113" s="7" t="s">
        <v>74</v>
      </c>
      <c r="L113" s="7">
        <v>6.167123287671233</v>
      </c>
      <c r="M113" s="7" t="s">
        <v>39</v>
      </c>
    </row>
    <row r="114" ht="14.25" customHeight="1">
      <c r="A114" s="7" t="s">
        <v>557</v>
      </c>
      <c r="B114" s="7" t="s">
        <v>558</v>
      </c>
      <c r="C114" s="7" t="s">
        <v>559</v>
      </c>
      <c r="D114" s="7" t="s">
        <v>30</v>
      </c>
      <c r="E114" s="7" t="s">
        <v>254</v>
      </c>
      <c r="F114" s="7">
        <v>111229.47</v>
      </c>
      <c r="G114" s="7" t="s">
        <v>32</v>
      </c>
      <c r="H114" s="9">
        <v>43402.0</v>
      </c>
      <c r="I114" s="7">
        <v>1.0</v>
      </c>
      <c r="J114" s="7" t="s">
        <v>35</v>
      </c>
      <c r="K114" s="7" t="s">
        <v>36</v>
      </c>
      <c r="L114" s="7">
        <v>5.64931506849315</v>
      </c>
      <c r="M114" s="7" t="s">
        <v>39</v>
      </c>
    </row>
    <row r="115" ht="14.25" customHeight="1">
      <c r="A115" s="7" t="s">
        <v>560</v>
      </c>
      <c r="B115" s="7" t="s">
        <v>561</v>
      </c>
      <c r="C115" s="7" t="s">
        <v>562</v>
      </c>
      <c r="D115" s="7" t="s">
        <v>30</v>
      </c>
      <c r="E115" s="7" t="s">
        <v>109</v>
      </c>
      <c r="F115" s="7">
        <v>67633.85</v>
      </c>
      <c r="G115" s="7" t="s">
        <v>47</v>
      </c>
      <c r="H115" s="9">
        <v>43340.0</v>
      </c>
      <c r="I115" s="7">
        <v>1.0</v>
      </c>
      <c r="J115" s="7" t="s">
        <v>35</v>
      </c>
      <c r="K115" s="7" t="s">
        <v>147</v>
      </c>
      <c r="L115" s="7">
        <v>5.8191780821917805</v>
      </c>
      <c r="M115" s="7" t="s">
        <v>39</v>
      </c>
    </row>
    <row r="116" ht="14.25" customHeight="1">
      <c r="A116" s="7" t="s">
        <v>563</v>
      </c>
      <c r="B116" s="7" t="s">
        <v>564</v>
      </c>
      <c r="C116" s="7" t="s">
        <v>565</v>
      </c>
      <c r="D116" s="7" t="s">
        <v>30</v>
      </c>
      <c r="E116" s="7" t="s">
        <v>57</v>
      </c>
      <c r="F116" s="7">
        <v>111815.49</v>
      </c>
      <c r="G116" s="7" t="s">
        <v>32</v>
      </c>
      <c r="H116" s="9">
        <v>43895.0</v>
      </c>
      <c r="I116" s="7">
        <v>0.7</v>
      </c>
      <c r="J116" s="7" t="s">
        <v>156</v>
      </c>
      <c r="K116" s="7" t="s">
        <v>36</v>
      </c>
      <c r="L116" s="7">
        <v>4.298630136986302</v>
      </c>
      <c r="M116" s="7" t="s">
        <v>51</v>
      </c>
    </row>
    <row r="117" ht="14.25" customHeight="1">
      <c r="A117" s="7" t="s">
        <v>566</v>
      </c>
      <c r="B117" s="7" t="s">
        <v>567</v>
      </c>
      <c r="C117" s="7" t="s">
        <v>568</v>
      </c>
      <c r="D117" s="7" t="s">
        <v>30</v>
      </c>
      <c r="E117" s="7" t="s">
        <v>46</v>
      </c>
      <c r="F117" s="7">
        <v>39784.24</v>
      </c>
      <c r="G117" s="7" t="s">
        <v>130</v>
      </c>
      <c r="H117" s="9">
        <v>43465.0</v>
      </c>
      <c r="I117" s="7">
        <v>1.0</v>
      </c>
      <c r="J117" s="7" t="s">
        <v>67</v>
      </c>
      <c r="K117" s="7" t="s">
        <v>172</v>
      </c>
      <c r="L117" s="7">
        <v>5.476712328767123</v>
      </c>
      <c r="M117" s="7" t="s">
        <v>39</v>
      </c>
    </row>
    <row r="118" ht="14.25" customHeight="1">
      <c r="A118" s="7" t="s">
        <v>569</v>
      </c>
      <c r="B118" s="7" t="s">
        <v>570</v>
      </c>
      <c r="C118" s="7" t="s">
        <v>571</v>
      </c>
      <c r="D118" s="7" t="s">
        <v>45</v>
      </c>
      <c r="E118" s="7" t="s">
        <v>254</v>
      </c>
      <c r="F118" s="7">
        <v>89829.33</v>
      </c>
      <c r="G118" s="7" t="s">
        <v>47</v>
      </c>
      <c r="H118" s="9">
        <v>43794.0</v>
      </c>
      <c r="I118" s="7">
        <v>1.0</v>
      </c>
      <c r="J118" s="7" t="s">
        <v>156</v>
      </c>
      <c r="K118" s="7" t="s">
        <v>172</v>
      </c>
      <c r="L118" s="7">
        <v>4.575342465753424</v>
      </c>
      <c r="M118" s="7" t="s">
        <v>39</v>
      </c>
    </row>
    <row r="119" ht="14.25" customHeight="1">
      <c r="A119" s="7" t="s">
        <v>563</v>
      </c>
      <c r="B119" s="7" t="s">
        <v>564</v>
      </c>
      <c r="C119" s="7" t="s">
        <v>565</v>
      </c>
      <c r="D119" s="7" t="s">
        <v>30</v>
      </c>
      <c r="E119" s="7" t="s">
        <v>57</v>
      </c>
      <c r="F119" s="7">
        <v>111815.49</v>
      </c>
      <c r="G119" s="7" t="s">
        <v>32</v>
      </c>
      <c r="H119" s="9">
        <v>43895.0</v>
      </c>
      <c r="I119" s="7">
        <v>0.7</v>
      </c>
      <c r="J119" s="7" t="s">
        <v>156</v>
      </c>
      <c r="K119" s="7" t="s">
        <v>36</v>
      </c>
      <c r="L119" s="7">
        <v>4.298630136986302</v>
      </c>
      <c r="M119" s="7" t="s">
        <v>51</v>
      </c>
    </row>
    <row r="120" ht="14.25" customHeight="1">
      <c r="A120" s="7" t="s">
        <v>573</v>
      </c>
      <c r="B120" s="7" t="s">
        <v>574</v>
      </c>
      <c r="C120" s="7" t="s">
        <v>575</v>
      </c>
      <c r="D120" s="7" t="s">
        <v>30</v>
      </c>
      <c r="E120" s="7" t="s">
        <v>266</v>
      </c>
      <c r="F120" s="7">
        <v>72843.23</v>
      </c>
      <c r="G120" s="7" t="s">
        <v>47</v>
      </c>
      <c r="H120" s="9">
        <v>43280.0</v>
      </c>
      <c r="I120" s="7">
        <v>1.0</v>
      </c>
      <c r="J120" s="7" t="s">
        <v>67</v>
      </c>
      <c r="K120" s="7" t="s">
        <v>84</v>
      </c>
      <c r="L120" s="7">
        <v>5.983561643835617</v>
      </c>
      <c r="M120" s="7" t="s">
        <v>39</v>
      </c>
    </row>
    <row r="121" ht="14.25" customHeight="1">
      <c r="A121" s="7" t="s">
        <v>496</v>
      </c>
      <c r="B121" s="7" t="s">
        <v>497</v>
      </c>
      <c r="C121" s="7" t="s">
        <v>498</v>
      </c>
      <c r="D121" s="7" t="s">
        <v>45</v>
      </c>
      <c r="E121" s="7" t="s">
        <v>109</v>
      </c>
      <c r="F121" s="7">
        <v>71823.56</v>
      </c>
      <c r="G121" s="7" t="s">
        <v>47</v>
      </c>
      <c r="H121" s="9">
        <v>43374.0</v>
      </c>
      <c r="I121" s="7">
        <v>0.3</v>
      </c>
      <c r="J121" s="7" t="s">
        <v>156</v>
      </c>
      <c r="K121" s="7" t="s">
        <v>36</v>
      </c>
      <c r="L121" s="7">
        <v>5.726027397260274</v>
      </c>
      <c r="M121" s="7" t="s">
        <v>51</v>
      </c>
    </row>
    <row r="122" ht="14.25" customHeight="1">
      <c r="A122" s="7" t="s">
        <v>576</v>
      </c>
      <c r="B122" s="7" t="s">
        <v>577</v>
      </c>
      <c r="C122" s="7" t="s">
        <v>578</v>
      </c>
      <c r="D122" s="7" t="s">
        <v>30</v>
      </c>
      <c r="E122" s="7" t="s">
        <v>46</v>
      </c>
      <c r="F122" s="7">
        <v>88511.17</v>
      </c>
      <c r="G122" s="7" t="s">
        <v>47</v>
      </c>
      <c r="H122" s="9">
        <v>43950.0</v>
      </c>
      <c r="I122" s="7">
        <v>1.0</v>
      </c>
      <c r="J122" s="7" t="s">
        <v>35</v>
      </c>
      <c r="K122" s="7" t="s">
        <v>147</v>
      </c>
      <c r="L122" s="7">
        <v>4.147945205479452</v>
      </c>
      <c r="M122" s="7" t="s">
        <v>39</v>
      </c>
    </row>
    <row r="123" ht="14.25" customHeight="1">
      <c r="A123" s="7" t="s">
        <v>579</v>
      </c>
      <c r="B123" s="7" t="s">
        <v>580</v>
      </c>
      <c r="C123" s="7" t="s">
        <v>581</v>
      </c>
      <c r="D123" s="7" t="s">
        <v>30</v>
      </c>
      <c r="E123" s="7" t="s">
        <v>109</v>
      </c>
      <c r="F123" s="7">
        <v>36547.58</v>
      </c>
      <c r="G123" s="7" t="s">
        <v>130</v>
      </c>
      <c r="H123" s="9">
        <v>43416.0</v>
      </c>
      <c r="I123" s="7">
        <v>1.0</v>
      </c>
      <c r="J123" s="7" t="s">
        <v>35</v>
      </c>
      <c r="K123" s="7" t="s">
        <v>36</v>
      </c>
      <c r="L123" s="7">
        <v>5.610958904109589</v>
      </c>
      <c r="M123" s="7" t="s">
        <v>39</v>
      </c>
    </row>
    <row r="124" ht="14.25" customHeight="1">
      <c r="A124" s="7" t="s">
        <v>582</v>
      </c>
      <c r="B124" s="7" t="s">
        <v>583</v>
      </c>
      <c r="C124" s="7" t="s">
        <v>584</v>
      </c>
      <c r="D124" s="7" t="s">
        <v>30</v>
      </c>
      <c r="E124" s="7" t="s">
        <v>109</v>
      </c>
      <c r="F124" s="7">
        <v>95954.02</v>
      </c>
      <c r="G124" s="7" t="s">
        <v>47</v>
      </c>
      <c r="H124" s="9">
        <v>43567.0</v>
      </c>
      <c r="I124" s="7">
        <v>0.3</v>
      </c>
      <c r="J124" s="7" t="s">
        <v>35</v>
      </c>
      <c r="K124" s="7" t="s">
        <v>74</v>
      </c>
      <c r="L124" s="7">
        <v>5.197260273972603</v>
      </c>
      <c r="M124" s="7" t="s">
        <v>51</v>
      </c>
    </row>
    <row r="125" ht="14.25" customHeight="1">
      <c r="A125" s="7" t="s">
        <v>585</v>
      </c>
      <c r="B125" s="7" t="s">
        <v>586</v>
      </c>
      <c r="C125" s="7" t="s">
        <v>588</v>
      </c>
      <c r="D125" s="7" t="s">
        <v>45</v>
      </c>
      <c r="E125" s="7" t="s">
        <v>65</v>
      </c>
      <c r="F125" s="7">
        <v>95677.9</v>
      </c>
      <c r="G125" s="7" t="s">
        <v>47</v>
      </c>
      <c r="H125" s="9">
        <v>44396.0</v>
      </c>
      <c r="I125" s="7">
        <v>0.3</v>
      </c>
      <c r="J125" s="7" t="s">
        <v>35</v>
      </c>
      <c r="K125" s="7" t="s">
        <v>172</v>
      </c>
      <c r="L125" s="7">
        <v>2.926027397260274</v>
      </c>
      <c r="M125" s="7" t="s">
        <v>51</v>
      </c>
    </row>
    <row r="126" ht="14.25" customHeight="1">
      <c r="A126" s="7" t="s">
        <v>591</v>
      </c>
      <c r="B126" s="7" t="s">
        <v>592</v>
      </c>
      <c r="C126" s="7" t="s">
        <v>593</v>
      </c>
      <c r="D126" s="7" t="s">
        <v>45</v>
      </c>
      <c r="E126" s="7" t="s">
        <v>109</v>
      </c>
      <c r="F126" s="7">
        <v>76303.82</v>
      </c>
      <c r="G126" s="7" t="s">
        <v>47</v>
      </c>
      <c r="H126" s="9">
        <v>43458.0</v>
      </c>
      <c r="I126" s="7">
        <v>1.0</v>
      </c>
      <c r="J126" s="7" t="s">
        <v>67</v>
      </c>
      <c r="K126" s="7" t="s">
        <v>74</v>
      </c>
      <c r="L126" s="7">
        <v>5.495890410958904</v>
      </c>
      <c r="M126" s="7" t="s">
        <v>39</v>
      </c>
    </row>
    <row r="127" ht="14.25" customHeight="1">
      <c r="A127" s="7" t="s">
        <v>595</v>
      </c>
      <c r="B127" s="7" t="s">
        <v>596</v>
      </c>
      <c r="C127" s="7" t="s">
        <v>597</v>
      </c>
      <c r="D127" s="7" t="s">
        <v>30</v>
      </c>
      <c r="E127" s="7" t="s">
        <v>266</v>
      </c>
      <c r="F127" s="7">
        <v>99460.78</v>
      </c>
      <c r="G127" s="7" t="s">
        <v>47</v>
      </c>
      <c r="H127" s="9">
        <v>43956.0</v>
      </c>
      <c r="I127" s="7">
        <v>1.0</v>
      </c>
      <c r="J127" s="7" t="s">
        <v>35</v>
      </c>
      <c r="K127" s="7" t="s">
        <v>36</v>
      </c>
      <c r="L127" s="7">
        <v>4.131506849315069</v>
      </c>
      <c r="M127" s="7" t="s">
        <v>39</v>
      </c>
    </row>
    <row r="128" ht="14.25" customHeight="1">
      <c r="A128" s="7" t="s">
        <v>599</v>
      </c>
      <c r="B128" s="7" t="s">
        <v>600</v>
      </c>
      <c r="C128" s="7" t="s">
        <v>601</v>
      </c>
      <c r="D128" s="7" t="s">
        <v>45</v>
      </c>
      <c r="E128" s="7" t="s">
        <v>91</v>
      </c>
      <c r="F128" s="7">
        <v>88034.67</v>
      </c>
      <c r="G128" s="7" t="s">
        <v>47</v>
      </c>
      <c r="H128" s="9">
        <v>43669.0</v>
      </c>
      <c r="I128" s="7">
        <v>1.0</v>
      </c>
      <c r="J128" s="7" t="s">
        <v>35</v>
      </c>
      <c r="K128" s="7" t="s">
        <v>36</v>
      </c>
      <c r="L128" s="7">
        <v>4.917808219178082</v>
      </c>
      <c r="M128" s="7" t="s">
        <v>39</v>
      </c>
    </row>
    <row r="129" ht="14.25" customHeight="1">
      <c r="A129" s="7" t="s">
        <v>606</v>
      </c>
      <c r="B129" s="7" t="s">
        <v>607</v>
      </c>
      <c r="C129" s="7" t="s">
        <v>608</v>
      </c>
      <c r="D129" s="7" t="s">
        <v>45</v>
      </c>
      <c r="E129" s="7" t="s">
        <v>115</v>
      </c>
      <c r="F129" s="7">
        <v>44447.26</v>
      </c>
      <c r="G129" s="7" t="s">
        <v>130</v>
      </c>
      <c r="H129" s="9">
        <v>43846.0</v>
      </c>
      <c r="I129" s="7">
        <v>0.4</v>
      </c>
      <c r="J129" s="7" t="s">
        <v>35</v>
      </c>
      <c r="K129" s="7" t="s">
        <v>50</v>
      </c>
      <c r="L129" s="7">
        <v>4.432876712328767</v>
      </c>
      <c r="M129" s="7" t="s">
        <v>51</v>
      </c>
    </row>
    <row r="130" ht="14.25" customHeight="1">
      <c r="A130" s="7" t="s">
        <v>611</v>
      </c>
      <c r="B130" s="7" t="s">
        <v>612</v>
      </c>
      <c r="C130" s="7" t="s">
        <v>613</v>
      </c>
      <c r="D130" s="7" t="s">
        <v>30</v>
      </c>
      <c r="E130" s="7" t="s">
        <v>254</v>
      </c>
      <c r="F130" s="7">
        <v>40445.29</v>
      </c>
      <c r="G130" s="7" t="s">
        <v>130</v>
      </c>
      <c r="H130" s="9">
        <v>44393.0</v>
      </c>
      <c r="I130" s="7">
        <v>1.0</v>
      </c>
      <c r="J130" s="7" t="s">
        <v>35</v>
      </c>
      <c r="K130" s="7" t="s">
        <v>172</v>
      </c>
      <c r="L130" s="7">
        <v>2.9342465753424656</v>
      </c>
      <c r="M130" s="7" t="s">
        <v>39</v>
      </c>
    </row>
    <row r="131" ht="14.25" customHeight="1">
      <c r="A131" s="7" t="s">
        <v>614</v>
      </c>
      <c r="B131" s="7" t="s">
        <v>615</v>
      </c>
      <c r="C131" s="7" t="s">
        <v>616</v>
      </c>
      <c r="D131" s="7" t="s">
        <v>45</v>
      </c>
      <c r="E131" s="7" t="s">
        <v>115</v>
      </c>
      <c r="F131" s="7">
        <v>92336.08</v>
      </c>
      <c r="G131" s="7" t="s">
        <v>47</v>
      </c>
      <c r="H131" s="9">
        <v>44431.0</v>
      </c>
      <c r="I131" s="7">
        <v>1.0</v>
      </c>
      <c r="J131" s="7" t="s">
        <v>35</v>
      </c>
      <c r="K131" s="7" t="s">
        <v>74</v>
      </c>
      <c r="L131" s="7">
        <v>2.83013698630137</v>
      </c>
      <c r="M131" s="7" t="s">
        <v>39</v>
      </c>
    </row>
    <row r="132" ht="14.25" customHeight="1">
      <c r="A132" s="7" t="s">
        <v>617</v>
      </c>
      <c r="B132" s="7" t="s">
        <v>618</v>
      </c>
      <c r="C132" s="7" t="s">
        <v>619</v>
      </c>
      <c r="D132" s="7" t="s">
        <v>45</v>
      </c>
      <c r="E132" s="7" t="s">
        <v>103</v>
      </c>
      <c r="F132" s="7">
        <v>68008.55</v>
      </c>
      <c r="G132" s="7" t="s">
        <v>47</v>
      </c>
      <c r="H132" s="9">
        <v>44062.0</v>
      </c>
      <c r="I132" s="7">
        <v>1.0</v>
      </c>
      <c r="J132" s="7" t="s">
        <v>35</v>
      </c>
      <c r="K132" s="7" t="s">
        <v>158</v>
      </c>
      <c r="L132" s="7">
        <v>3.841095890410959</v>
      </c>
      <c r="M132" s="7" t="s">
        <v>39</v>
      </c>
    </row>
    <row r="133" ht="14.25" customHeight="1">
      <c r="A133" s="7" t="s">
        <v>620</v>
      </c>
      <c r="B133" s="7" t="s">
        <v>621</v>
      </c>
      <c r="C133" s="7" t="s">
        <v>622</v>
      </c>
      <c r="D133" s="7" t="s">
        <v>30</v>
      </c>
      <c r="E133" s="7" t="s">
        <v>254</v>
      </c>
      <c r="F133" s="7">
        <v>74924.65</v>
      </c>
      <c r="G133" s="7" t="s">
        <v>47</v>
      </c>
      <c r="H133" s="9">
        <v>44239.0</v>
      </c>
      <c r="I133" s="7">
        <v>1.0</v>
      </c>
      <c r="J133" s="7" t="s">
        <v>35</v>
      </c>
      <c r="K133" s="7" t="s">
        <v>74</v>
      </c>
      <c r="L133" s="7">
        <v>3.356164383561644</v>
      </c>
      <c r="M133" s="7" t="s">
        <v>39</v>
      </c>
    </row>
    <row r="134" ht="14.25" customHeight="1">
      <c r="A134" s="7" t="s">
        <v>624</v>
      </c>
      <c r="B134" s="7" t="s">
        <v>625</v>
      </c>
      <c r="C134" s="7" t="s">
        <v>626</v>
      </c>
      <c r="D134" s="7" t="s">
        <v>30</v>
      </c>
      <c r="E134" s="7" t="s">
        <v>57</v>
      </c>
      <c r="F134" s="7">
        <v>88689.09</v>
      </c>
      <c r="G134" s="7" t="s">
        <v>47</v>
      </c>
      <c r="H134" s="9">
        <v>43740.0</v>
      </c>
      <c r="I134" s="7">
        <v>1.0</v>
      </c>
      <c r="J134" s="7" t="s">
        <v>35</v>
      </c>
      <c r="K134" s="7" t="s">
        <v>50</v>
      </c>
      <c r="L134" s="7">
        <v>4.723287671232876</v>
      </c>
      <c r="M134" s="7" t="s">
        <v>39</v>
      </c>
    </row>
    <row r="135" ht="14.25" customHeight="1">
      <c r="A135" s="7" t="s">
        <v>628</v>
      </c>
      <c r="B135" s="7" t="s">
        <v>629</v>
      </c>
      <c r="C135" s="7" t="s">
        <v>630</v>
      </c>
      <c r="D135" s="7" t="s">
        <v>45</v>
      </c>
      <c r="E135" s="7" t="s">
        <v>115</v>
      </c>
      <c r="F135" s="7">
        <v>96555.53</v>
      </c>
      <c r="G135" s="7" t="s">
        <v>47</v>
      </c>
      <c r="H135" s="9">
        <v>43489.0</v>
      </c>
      <c r="I135" s="7">
        <v>0.2</v>
      </c>
      <c r="J135" s="7" t="s">
        <v>156</v>
      </c>
      <c r="K135" s="7" t="s">
        <v>74</v>
      </c>
      <c r="L135" s="7">
        <v>5.410958904109589</v>
      </c>
      <c r="M135" s="7" t="s">
        <v>51</v>
      </c>
    </row>
    <row r="136" ht="14.25" customHeight="1">
      <c r="A136" s="7" t="s">
        <v>631</v>
      </c>
      <c r="B136" s="7" t="s">
        <v>633</v>
      </c>
      <c r="C136" s="7" t="s">
        <v>634</v>
      </c>
      <c r="D136" s="7" t="s">
        <v>45</v>
      </c>
      <c r="E136" s="7" t="s">
        <v>91</v>
      </c>
      <c r="F136" s="7">
        <v>71924.85</v>
      </c>
      <c r="G136" s="7" t="s">
        <v>47</v>
      </c>
      <c r="H136" s="9">
        <v>43822.0</v>
      </c>
      <c r="I136" s="7">
        <v>1.0</v>
      </c>
      <c r="J136" s="7" t="s">
        <v>35</v>
      </c>
      <c r="K136" s="7" t="s">
        <v>172</v>
      </c>
      <c r="L136" s="7">
        <v>4.498630136986302</v>
      </c>
      <c r="M136" s="7" t="s">
        <v>39</v>
      </c>
    </row>
    <row r="137" ht="14.25" customHeight="1">
      <c r="A137" s="7" t="s">
        <v>635</v>
      </c>
      <c r="B137" s="7" t="s">
        <v>636</v>
      </c>
      <c r="C137" s="7" t="s">
        <v>637</v>
      </c>
      <c r="D137" s="7" t="s">
        <v>30</v>
      </c>
      <c r="E137" s="7" t="s">
        <v>254</v>
      </c>
      <c r="F137" s="7">
        <v>31241.24</v>
      </c>
      <c r="G137" s="7" t="s">
        <v>130</v>
      </c>
      <c r="H137" s="9">
        <v>43725.0</v>
      </c>
      <c r="I137" s="7">
        <v>1.0</v>
      </c>
      <c r="J137" s="7" t="s">
        <v>35</v>
      </c>
      <c r="K137" s="7" t="s">
        <v>36</v>
      </c>
      <c r="L137" s="7">
        <v>4.764383561643836</v>
      </c>
      <c r="M137" s="7" t="s">
        <v>39</v>
      </c>
    </row>
    <row r="138" ht="14.25" customHeight="1">
      <c r="A138" s="7" t="s">
        <v>638</v>
      </c>
      <c r="B138" s="7" t="s">
        <v>639</v>
      </c>
      <c r="C138" s="7" t="s">
        <v>641</v>
      </c>
      <c r="D138" s="7" t="s">
        <v>30</v>
      </c>
      <c r="E138" s="7" t="s">
        <v>46</v>
      </c>
      <c r="F138" s="7">
        <v>110042.37</v>
      </c>
      <c r="G138" s="7" t="s">
        <v>32</v>
      </c>
      <c r="H138" s="9">
        <v>43914.0</v>
      </c>
      <c r="I138" s="7">
        <v>1.0</v>
      </c>
      <c r="J138" s="7" t="s">
        <v>35</v>
      </c>
      <c r="K138" s="7" t="s">
        <v>147</v>
      </c>
      <c r="L138" s="7">
        <v>4.2465753424657535</v>
      </c>
      <c r="M138" s="7" t="s">
        <v>39</v>
      </c>
    </row>
    <row r="139" ht="14.25" customHeight="1">
      <c r="A139" s="7" t="s">
        <v>167</v>
      </c>
      <c r="B139" s="7" t="s">
        <v>642</v>
      </c>
      <c r="C139" s="7" t="s">
        <v>643</v>
      </c>
      <c r="D139" s="7" t="s">
        <v>45</v>
      </c>
      <c r="E139" s="7" t="s">
        <v>65</v>
      </c>
      <c r="F139" s="7">
        <v>37902.35</v>
      </c>
      <c r="G139" s="7" t="s">
        <v>130</v>
      </c>
      <c r="H139" s="9">
        <v>43823.0</v>
      </c>
      <c r="I139" s="7">
        <v>1.0</v>
      </c>
      <c r="J139" s="7" t="s">
        <v>35</v>
      </c>
      <c r="K139" s="7" t="s">
        <v>172</v>
      </c>
      <c r="L139" s="7">
        <v>4.495890410958904</v>
      </c>
      <c r="M139" s="7" t="s">
        <v>39</v>
      </c>
    </row>
    <row r="140" ht="14.25" customHeight="1">
      <c r="A140" s="7" t="s">
        <v>645</v>
      </c>
      <c r="B140" s="7" t="s">
        <v>646</v>
      </c>
      <c r="C140" s="7" t="s">
        <v>647</v>
      </c>
      <c r="D140" s="7" t="s">
        <v>45</v>
      </c>
      <c r="E140" s="7" t="s">
        <v>46</v>
      </c>
      <c r="F140" s="7">
        <v>33031.26</v>
      </c>
      <c r="G140" s="7" t="s">
        <v>130</v>
      </c>
      <c r="H140" s="9">
        <v>43468.0</v>
      </c>
      <c r="I140" s="7">
        <v>0.4</v>
      </c>
      <c r="J140" s="7" t="s">
        <v>35</v>
      </c>
      <c r="K140" s="7" t="s">
        <v>74</v>
      </c>
      <c r="L140" s="7">
        <v>5.468493150684932</v>
      </c>
      <c r="M140" s="7" t="s">
        <v>51</v>
      </c>
    </row>
    <row r="141" ht="14.25" customHeight="1">
      <c r="A141" s="7" t="s">
        <v>649</v>
      </c>
      <c r="B141" s="7" t="s">
        <v>650</v>
      </c>
      <c r="C141" s="7" t="s">
        <v>651</v>
      </c>
      <c r="D141" s="7" t="s">
        <v>45</v>
      </c>
      <c r="E141" s="7" t="s">
        <v>266</v>
      </c>
      <c r="F141" s="7">
        <v>32496.88</v>
      </c>
      <c r="G141" s="7" t="s">
        <v>130</v>
      </c>
      <c r="H141" s="9">
        <v>43234.0</v>
      </c>
      <c r="I141" s="7">
        <v>1.0</v>
      </c>
      <c r="J141" s="7" t="s">
        <v>156</v>
      </c>
      <c r="K141" s="7" t="s">
        <v>36</v>
      </c>
      <c r="L141" s="7">
        <v>6.109589041095891</v>
      </c>
      <c r="M141" s="7" t="s">
        <v>39</v>
      </c>
    </row>
    <row r="142" ht="14.25" customHeight="1">
      <c r="A142" s="7" t="s">
        <v>653</v>
      </c>
      <c r="B142" s="7" t="s">
        <v>654</v>
      </c>
      <c r="C142" s="7" t="s">
        <v>655</v>
      </c>
      <c r="D142" s="7" t="s">
        <v>45</v>
      </c>
      <c r="E142" s="7" t="s">
        <v>57</v>
      </c>
      <c r="F142" s="7">
        <v>81897.79</v>
      </c>
      <c r="G142" s="7" t="s">
        <v>47</v>
      </c>
      <c r="H142" s="9">
        <v>43146.0</v>
      </c>
      <c r="I142" s="7">
        <v>1.0</v>
      </c>
      <c r="J142" s="7" t="s">
        <v>35</v>
      </c>
      <c r="K142" s="7" t="s">
        <v>158</v>
      </c>
      <c r="L142" s="7">
        <v>6.35068493150685</v>
      </c>
      <c r="M142" s="7" t="s">
        <v>39</v>
      </c>
    </row>
    <row r="143" ht="14.25" customHeight="1">
      <c r="A143" s="7" t="s">
        <v>657</v>
      </c>
      <c r="B143" s="7" t="s">
        <v>658</v>
      </c>
      <c r="C143" s="7" t="s">
        <v>659</v>
      </c>
      <c r="D143" s="7" t="s">
        <v>30</v>
      </c>
      <c r="E143" s="7" t="s">
        <v>31</v>
      </c>
      <c r="F143" s="7">
        <v>108872.77</v>
      </c>
      <c r="G143" s="7" t="s">
        <v>32</v>
      </c>
      <c r="H143" s="9">
        <v>43521.0</v>
      </c>
      <c r="I143" s="7">
        <v>1.0</v>
      </c>
      <c r="J143" s="7" t="s">
        <v>35</v>
      </c>
      <c r="K143" s="7" t="s">
        <v>36</v>
      </c>
      <c r="L143" s="7">
        <v>5.323287671232877</v>
      </c>
      <c r="M143" s="7" t="s">
        <v>39</v>
      </c>
    </row>
    <row r="144" ht="14.25" customHeight="1">
      <c r="A144" s="7" t="s">
        <v>660</v>
      </c>
      <c r="B144" s="7" t="s">
        <v>661</v>
      </c>
      <c r="C144" s="7" t="s">
        <v>662</v>
      </c>
      <c r="D144" s="7" t="s">
        <v>30</v>
      </c>
      <c r="E144" s="7" t="s">
        <v>103</v>
      </c>
      <c r="F144" s="7">
        <v>89605.13</v>
      </c>
      <c r="G144" s="7" t="s">
        <v>47</v>
      </c>
      <c r="H144" s="9">
        <v>43258.0</v>
      </c>
      <c r="I144" s="7">
        <v>1.0</v>
      </c>
      <c r="J144" s="7" t="s">
        <v>35</v>
      </c>
      <c r="K144" s="7" t="s">
        <v>50</v>
      </c>
      <c r="L144" s="7">
        <v>6.043835616438356</v>
      </c>
      <c r="M144" s="7" t="s">
        <v>39</v>
      </c>
    </row>
    <row r="145" ht="14.25" customHeight="1">
      <c r="A145" s="7" t="s">
        <v>663</v>
      </c>
      <c r="B145" s="7" t="s">
        <v>664</v>
      </c>
      <c r="C145" s="7" t="s">
        <v>665</v>
      </c>
      <c r="D145" s="7" t="s">
        <v>90</v>
      </c>
      <c r="E145" s="7" t="s">
        <v>266</v>
      </c>
      <c r="F145" s="7">
        <v>63447.07</v>
      </c>
      <c r="G145" s="7" t="s">
        <v>47</v>
      </c>
      <c r="H145" s="9">
        <v>44148.0</v>
      </c>
      <c r="I145" s="7">
        <v>1.0</v>
      </c>
      <c r="J145" s="7" t="s">
        <v>156</v>
      </c>
      <c r="K145" s="7" t="s">
        <v>84</v>
      </c>
      <c r="L145" s="7">
        <v>3.6054794520547944</v>
      </c>
      <c r="M145" s="7" t="s">
        <v>39</v>
      </c>
    </row>
    <row r="146" ht="14.25" customHeight="1">
      <c r="A146" s="7" t="s">
        <v>666</v>
      </c>
      <c r="B146" s="7" t="s">
        <v>667</v>
      </c>
      <c r="C146" s="7" t="s">
        <v>669</v>
      </c>
      <c r="D146" s="7" t="s">
        <v>45</v>
      </c>
      <c r="E146" s="7" t="s">
        <v>254</v>
      </c>
      <c r="F146" s="7">
        <v>106665.67</v>
      </c>
      <c r="G146" s="7" t="s">
        <v>32</v>
      </c>
      <c r="H146" s="9">
        <v>43311.0</v>
      </c>
      <c r="I146" s="7">
        <v>1.0</v>
      </c>
      <c r="J146" s="7" t="s">
        <v>156</v>
      </c>
      <c r="K146" s="7" t="s">
        <v>147</v>
      </c>
      <c r="L146" s="7">
        <v>5.898630136986301</v>
      </c>
      <c r="M146" s="7" t="s">
        <v>39</v>
      </c>
    </row>
    <row r="147" ht="14.25" customHeight="1">
      <c r="A147" s="7" t="s">
        <v>670</v>
      </c>
      <c r="B147" s="7" t="s">
        <v>671</v>
      </c>
      <c r="C147" s="7" t="s">
        <v>672</v>
      </c>
      <c r="D147" s="7" t="s">
        <v>30</v>
      </c>
      <c r="E147" s="7" t="s">
        <v>57</v>
      </c>
      <c r="F147" s="7">
        <v>100424.23</v>
      </c>
      <c r="G147" s="7" t="s">
        <v>32</v>
      </c>
      <c r="H147" s="9">
        <v>43801.0</v>
      </c>
      <c r="I147" s="7">
        <v>1.0</v>
      </c>
      <c r="J147" s="7" t="s">
        <v>35</v>
      </c>
      <c r="K147" s="7" t="s">
        <v>158</v>
      </c>
      <c r="L147" s="7">
        <v>4.556164383561644</v>
      </c>
      <c r="M147" s="7" t="s">
        <v>39</v>
      </c>
    </row>
    <row r="148" ht="14.25" customHeight="1">
      <c r="A148" s="7" t="s">
        <v>673</v>
      </c>
      <c r="B148" s="7" t="s">
        <v>674</v>
      </c>
      <c r="C148" s="7" t="s">
        <v>675</v>
      </c>
      <c r="D148" s="7" t="s">
        <v>30</v>
      </c>
      <c r="E148" s="7" t="s">
        <v>57</v>
      </c>
      <c r="F148" s="7">
        <v>47646.95</v>
      </c>
      <c r="G148" s="7" t="s">
        <v>130</v>
      </c>
      <c r="H148" s="9">
        <v>43791.0</v>
      </c>
      <c r="I148" s="7">
        <v>0.3</v>
      </c>
      <c r="J148" s="7" t="s">
        <v>67</v>
      </c>
      <c r="K148" s="7" t="s">
        <v>172</v>
      </c>
      <c r="L148" s="7">
        <v>4.583561643835616</v>
      </c>
      <c r="M148" s="7" t="s">
        <v>51</v>
      </c>
    </row>
    <row r="149" ht="14.25" customHeight="1">
      <c r="A149" s="7" t="s">
        <v>676</v>
      </c>
      <c r="B149" s="7" t="s">
        <v>677</v>
      </c>
      <c r="C149" s="7" t="s">
        <v>678</v>
      </c>
      <c r="D149" s="7" t="s">
        <v>30</v>
      </c>
      <c r="E149" s="7" t="s">
        <v>266</v>
      </c>
      <c r="F149" s="7">
        <v>28481.16</v>
      </c>
      <c r="G149" s="7" t="s">
        <v>130</v>
      </c>
      <c r="H149" s="9">
        <v>43916.0</v>
      </c>
      <c r="I149" s="7">
        <v>1.0</v>
      </c>
      <c r="J149" s="7" t="s">
        <v>35</v>
      </c>
      <c r="K149" s="7" t="s">
        <v>74</v>
      </c>
      <c r="L149" s="7">
        <v>4.241095890410959</v>
      </c>
      <c r="M149" s="7" t="s">
        <v>39</v>
      </c>
    </row>
    <row r="150" ht="14.25" customHeight="1">
      <c r="A150" s="7" t="s">
        <v>679</v>
      </c>
      <c r="B150" s="7" t="s">
        <v>680</v>
      </c>
      <c r="C150" s="7" t="s">
        <v>681</v>
      </c>
      <c r="D150" s="7" t="s">
        <v>45</v>
      </c>
      <c r="E150" s="7" t="s">
        <v>212</v>
      </c>
      <c r="F150" s="7">
        <v>39535.49</v>
      </c>
      <c r="G150" s="7" t="s">
        <v>130</v>
      </c>
      <c r="H150" s="9">
        <v>43397.0</v>
      </c>
      <c r="I150" s="7">
        <v>0.3</v>
      </c>
      <c r="J150" s="7" t="s">
        <v>35</v>
      </c>
      <c r="K150" s="7" t="s">
        <v>36</v>
      </c>
      <c r="L150" s="7">
        <v>5.663013698630137</v>
      </c>
      <c r="M150" s="7" t="s">
        <v>51</v>
      </c>
    </row>
    <row r="151" ht="14.25" customHeight="1">
      <c r="A151" s="7" t="s">
        <v>682</v>
      </c>
      <c r="B151" s="7" t="s">
        <v>683</v>
      </c>
      <c r="C151" s="7" t="s">
        <v>684</v>
      </c>
      <c r="D151" s="7" t="s">
        <v>30</v>
      </c>
      <c r="E151" s="7" t="s">
        <v>91</v>
      </c>
      <c r="F151" s="7">
        <v>95017.1</v>
      </c>
      <c r="G151" s="7" t="s">
        <v>47</v>
      </c>
      <c r="H151" s="9">
        <v>43283.0</v>
      </c>
      <c r="I151" s="7">
        <v>1.0</v>
      </c>
      <c r="J151" s="7" t="s">
        <v>67</v>
      </c>
      <c r="K151" s="7" t="s">
        <v>50</v>
      </c>
      <c r="L151" s="7">
        <v>5.975342465753425</v>
      </c>
      <c r="M151" s="7" t="s">
        <v>39</v>
      </c>
    </row>
    <row r="152" ht="14.25" customHeight="1">
      <c r="A152" s="7" t="s">
        <v>685</v>
      </c>
      <c r="B152" s="7" t="s">
        <v>686</v>
      </c>
      <c r="C152" s="7" t="s">
        <v>687</v>
      </c>
      <c r="D152" s="7" t="s">
        <v>30</v>
      </c>
      <c r="E152" s="7" t="s">
        <v>46</v>
      </c>
      <c r="F152" s="7">
        <v>69764.1</v>
      </c>
      <c r="G152" s="7" t="s">
        <v>47</v>
      </c>
      <c r="H152" s="9">
        <v>44195.0</v>
      </c>
      <c r="I152" s="7">
        <v>1.0</v>
      </c>
      <c r="J152" s="7" t="s">
        <v>67</v>
      </c>
      <c r="K152" s="7" t="s">
        <v>50</v>
      </c>
      <c r="L152" s="7">
        <v>3.4767123287671233</v>
      </c>
      <c r="M152" s="7" t="s">
        <v>39</v>
      </c>
    </row>
    <row r="153" ht="14.25" customHeight="1">
      <c r="A153" s="7" t="s">
        <v>688</v>
      </c>
      <c r="B153" s="7" t="s">
        <v>689</v>
      </c>
      <c r="C153" s="7" t="s">
        <v>690</v>
      </c>
      <c r="D153" s="7" t="s">
        <v>45</v>
      </c>
      <c r="E153" s="7" t="s">
        <v>212</v>
      </c>
      <c r="F153" s="7">
        <v>84598.88</v>
      </c>
      <c r="G153" s="7" t="s">
        <v>47</v>
      </c>
      <c r="H153" s="9">
        <v>44116.0</v>
      </c>
      <c r="I153" s="7">
        <v>1.0</v>
      </c>
      <c r="J153" s="7" t="s">
        <v>67</v>
      </c>
      <c r="K153" s="7" t="s">
        <v>50</v>
      </c>
      <c r="L153" s="7">
        <v>3.6931506849315068</v>
      </c>
      <c r="M153" s="7" t="s">
        <v>39</v>
      </c>
    </row>
    <row r="154" ht="14.25" customHeight="1">
      <c r="A154" s="7" t="s">
        <v>691</v>
      </c>
      <c r="B154" s="7" t="s">
        <v>692</v>
      </c>
      <c r="C154" s="7" t="s">
        <v>693</v>
      </c>
      <c r="D154" s="7" t="s">
        <v>30</v>
      </c>
      <c r="E154" s="7" t="s">
        <v>31</v>
      </c>
      <c r="F154" s="7">
        <v>36536.26</v>
      </c>
      <c r="G154" s="7" t="s">
        <v>130</v>
      </c>
      <c r="H154" s="9">
        <v>44358.0</v>
      </c>
      <c r="I154" s="7">
        <v>1.0</v>
      </c>
      <c r="J154" s="7" t="s">
        <v>156</v>
      </c>
      <c r="K154" s="7" t="s">
        <v>74</v>
      </c>
      <c r="L154" s="7">
        <v>3.03013698630137</v>
      </c>
      <c r="M154" s="7" t="s">
        <v>39</v>
      </c>
    </row>
    <row r="155" ht="14.25" customHeight="1">
      <c r="A155" s="7" t="s">
        <v>694</v>
      </c>
      <c r="B155" s="7" t="s">
        <v>695</v>
      </c>
      <c r="C155" s="7" t="s">
        <v>696</v>
      </c>
      <c r="D155" s="7" t="s">
        <v>45</v>
      </c>
      <c r="E155" s="7" t="s">
        <v>46</v>
      </c>
      <c r="F155" s="7">
        <v>61688.77</v>
      </c>
      <c r="G155" s="7" t="s">
        <v>47</v>
      </c>
      <c r="H155" s="9">
        <v>43346.0</v>
      </c>
      <c r="I155" s="7">
        <v>0.9</v>
      </c>
      <c r="J155" s="7" t="s">
        <v>35</v>
      </c>
      <c r="K155" s="7" t="s">
        <v>172</v>
      </c>
      <c r="L155" s="7">
        <v>5.802739726027397</v>
      </c>
      <c r="M155" s="7" t="s">
        <v>51</v>
      </c>
    </row>
    <row r="156" ht="14.25" customHeight="1">
      <c r="A156" s="7" t="s">
        <v>697</v>
      </c>
      <c r="B156" s="7" t="s">
        <v>698</v>
      </c>
      <c r="C156" s="7" t="s">
        <v>699</v>
      </c>
      <c r="D156" s="7" t="s">
        <v>45</v>
      </c>
      <c r="E156" s="7" t="s">
        <v>31</v>
      </c>
      <c r="F156" s="7">
        <v>88425.08</v>
      </c>
      <c r="G156" s="7" t="s">
        <v>47</v>
      </c>
      <c r="H156" s="9">
        <v>43662.0</v>
      </c>
      <c r="I156" s="7">
        <v>1.0</v>
      </c>
      <c r="J156" s="7" t="s">
        <v>35</v>
      </c>
      <c r="K156" s="7" t="s">
        <v>74</v>
      </c>
      <c r="L156" s="7">
        <v>4.936986301369863</v>
      </c>
      <c r="M156" s="7" t="s">
        <v>39</v>
      </c>
    </row>
    <row r="157" ht="14.25" customHeight="1">
      <c r="A157" s="7" t="s">
        <v>389</v>
      </c>
      <c r="B157" s="7" t="s">
        <v>700</v>
      </c>
      <c r="C157" s="7" t="s">
        <v>701</v>
      </c>
      <c r="D157" s="7" t="s">
        <v>45</v>
      </c>
      <c r="E157" s="7" t="s">
        <v>254</v>
      </c>
      <c r="F157" s="7">
        <v>38438.24</v>
      </c>
      <c r="G157" s="7" t="s">
        <v>130</v>
      </c>
      <c r="H157" s="9">
        <v>43962.0</v>
      </c>
      <c r="I157" s="7">
        <v>1.0</v>
      </c>
      <c r="J157" s="7" t="s">
        <v>35</v>
      </c>
      <c r="K157" s="7" t="s">
        <v>172</v>
      </c>
      <c r="L157" s="7">
        <v>4.115068493150685</v>
      </c>
      <c r="M157" s="7" t="s">
        <v>39</v>
      </c>
    </row>
    <row r="158" ht="14.25" customHeight="1">
      <c r="A158" s="7" t="s">
        <v>702</v>
      </c>
      <c r="B158" s="7" t="s">
        <v>703</v>
      </c>
      <c r="C158" s="7" t="s">
        <v>704</v>
      </c>
      <c r="D158" s="7" t="s">
        <v>30</v>
      </c>
      <c r="E158" s="7" t="s">
        <v>212</v>
      </c>
      <c r="F158" s="7">
        <v>96753.78</v>
      </c>
      <c r="G158" s="7" t="s">
        <v>47</v>
      </c>
      <c r="H158" s="9">
        <v>44494.0</v>
      </c>
      <c r="I158" s="7">
        <v>1.0</v>
      </c>
      <c r="J158" s="7" t="s">
        <v>35</v>
      </c>
      <c r="K158" s="7" t="s">
        <v>158</v>
      </c>
      <c r="L158" s="7">
        <v>2.6575342465753424</v>
      </c>
      <c r="M158" s="7" t="s">
        <v>39</v>
      </c>
    </row>
    <row r="159" ht="14.25" customHeight="1">
      <c r="A159" s="7" t="s">
        <v>512</v>
      </c>
      <c r="B159" s="7" t="s">
        <v>513</v>
      </c>
      <c r="C159" s="7" t="s">
        <v>514</v>
      </c>
      <c r="D159" s="7" t="s">
        <v>30</v>
      </c>
      <c r="E159" s="7" t="s">
        <v>65</v>
      </c>
      <c r="F159" s="7">
        <v>112778.28</v>
      </c>
      <c r="G159" s="7" t="s">
        <v>32</v>
      </c>
      <c r="H159" s="9">
        <v>43250.0</v>
      </c>
      <c r="I159" s="7">
        <v>1.0</v>
      </c>
      <c r="J159" s="7" t="s">
        <v>67</v>
      </c>
      <c r="K159" s="7" t="s">
        <v>36</v>
      </c>
      <c r="L159" s="7">
        <v>6.065753424657534</v>
      </c>
      <c r="M159" s="7" t="s">
        <v>39</v>
      </c>
    </row>
    <row r="160" ht="14.25" customHeight="1">
      <c r="A160" s="7" t="s">
        <v>705</v>
      </c>
      <c r="B160" s="7" t="s">
        <v>706</v>
      </c>
      <c r="C160" s="7" t="s">
        <v>707</v>
      </c>
      <c r="D160" s="7" t="s">
        <v>45</v>
      </c>
      <c r="E160" s="7" t="s">
        <v>91</v>
      </c>
      <c r="F160" s="7">
        <v>28974.03</v>
      </c>
      <c r="G160" s="7" t="s">
        <v>130</v>
      </c>
      <c r="H160" s="9">
        <v>43733.0</v>
      </c>
      <c r="I160" s="7">
        <v>1.0</v>
      </c>
      <c r="J160" s="7" t="s">
        <v>35</v>
      </c>
      <c r="K160" s="7" t="s">
        <v>158</v>
      </c>
      <c r="L160" s="7">
        <v>4.742465753424658</v>
      </c>
      <c r="M160" s="7" t="s">
        <v>39</v>
      </c>
    </row>
    <row r="161" ht="14.25" customHeight="1">
      <c r="A161" s="7" t="s">
        <v>708</v>
      </c>
      <c r="B161" s="7" t="s">
        <v>709</v>
      </c>
      <c r="C161" s="7" t="s">
        <v>710</v>
      </c>
      <c r="D161" s="7" t="s">
        <v>45</v>
      </c>
      <c r="E161" s="7" t="s">
        <v>46</v>
      </c>
      <c r="F161" s="7">
        <v>86233.83</v>
      </c>
      <c r="G161" s="7" t="s">
        <v>47</v>
      </c>
      <c r="H161" s="9">
        <v>43706.0</v>
      </c>
      <c r="I161" s="7">
        <v>1.0</v>
      </c>
      <c r="J161" s="7" t="s">
        <v>67</v>
      </c>
      <c r="K161" s="7" t="s">
        <v>172</v>
      </c>
      <c r="L161" s="7">
        <v>4.816438356164384</v>
      </c>
      <c r="M161" s="7" t="s">
        <v>39</v>
      </c>
    </row>
    <row r="162" ht="14.25" customHeight="1">
      <c r="A162" s="7" t="s">
        <v>419</v>
      </c>
      <c r="B162" s="7" t="s">
        <v>420</v>
      </c>
      <c r="C162" s="7" t="s">
        <v>421</v>
      </c>
      <c r="D162" s="7" t="s">
        <v>45</v>
      </c>
      <c r="E162" s="7" t="s">
        <v>254</v>
      </c>
      <c r="F162" s="7">
        <v>66865.49</v>
      </c>
      <c r="G162" s="7" t="s">
        <v>47</v>
      </c>
      <c r="H162" s="9">
        <v>43514.0</v>
      </c>
      <c r="I162" s="7">
        <v>1.0</v>
      </c>
      <c r="J162" s="7" t="s">
        <v>35</v>
      </c>
      <c r="K162" s="7" t="s">
        <v>50</v>
      </c>
      <c r="L162" s="7">
        <v>5.342465753424658</v>
      </c>
      <c r="M162" s="7" t="s">
        <v>39</v>
      </c>
    </row>
    <row r="163" ht="14.25" customHeight="1">
      <c r="A163" s="7" t="s">
        <v>711</v>
      </c>
      <c r="B163" s="7" t="s">
        <v>712</v>
      </c>
      <c r="C163" s="7" t="s">
        <v>713</v>
      </c>
      <c r="D163" s="7" t="s">
        <v>30</v>
      </c>
      <c r="E163" s="7" t="s">
        <v>109</v>
      </c>
      <c r="F163" s="7">
        <v>119022.49</v>
      </c>
      <c r="G163" s="7" t="s">
        <v>32</v>
      </c>
      <c r="H163" s="9">
        <v>44431.0</v>
      </c>
      <c r="I163" s="7">
        <v>1.0</v>
      </c>
      <c r="J163" s="7" t="s">
        <v>35</v>
      </c>
      <c r="K163" s="7" t="s">
        <v>158</v>
      </c>
      <c r="L163" s="7">
        <v>2.83013698630137</v>
      </c>
      <c r="M163" s="7" t="s">
        <v>39</v>
      </c>
    </row>
    <row r="164" ht="14.25" customHeight="1">
      <c r="A164" s="7" t="s">
        <v>714</v>
      </c>
      <c r="B164" s="7" t="s">
        <v>715</v>
      </c>
      <c r="C164" s="7" t="s">
        <v>716</v>
      </c>
      <c r="D164" s="7" t="s">
        <v>45</v>
      </c>
      <c r="E164" s="7" t="s">
        <v>109</v>
      </c>
      <c r="F164" s="7">
        <v>114177.23</v>
      </c>
      <c r="G164" s="7" t="s">
        <v>32</v>
      </c>
      <c r="H164" s="9">
        <v>43908.0</v>
      </c>
      <c r="I164" s="7">
        <v>1.0</v>
      </c>
      <c r="J164" s="7" t="s">
        <v>35</v>
      </c>
      <c r="K164" s="7" t="s">
        <v>84</v>
      </c>
      <c r="L164" s="7">
        <v>4.263013698630137</v>
      </c>
      <c r="M164" s="7" t="s">
        <v>39</v>
      </c>
    </row>
    <row r="165" ht="14.25" customHeight="1">
      <c r="A165" s="7" t="s">
        <v>718</v>
      </c>
      <c r="B165" s="7" t="s">
        <v>719</v>
      </c>
      <c r="C165" s="7" t="s">
        <v>720</v>
      </c>
      <c r="D165" s="7" t="s">
        <v>45</v>
      </c>
      <c r="E165" s="7" t="s">
        <v>155</v>
      </c>
      <c r="F165" s="7">
        <v>100731.95</v>
      </c>
      <c r="G165" s="7" t="s">
        <v>32</v>
      </c>
      <c r="H165" s="9">
        <v>43936.0</v>
      </c>
      <c r="I165" s="7">
        <v>1.0</v>
      </c>
      <c r="J165" s="7" t="s">
        <v>35</v>
      </c>
      <c r="K165" s="7" t="s">
        <v>158</v>
      </c>
      <c r="L165" s="7">
        <v>4.186301369863013</v>
      </c>
      <c r="M165" s="7" t="s">
        <v>39</v>
      </c>
    </row>
    <row r="166" ht="14.25" customHeight="1">
      <c r="A166" s="7" t="s">
        <v>722</v>
      </c>
      <c r="B166" s="7" t="s">
        <v>723</v>
      </c>
      <c r="C166" s="7" t="s">
        <v>724</v>
      </c>
      <c r="D166" s="7" t="s">
        <v>45</v>
      </c>
      <c r="E166" s="7" t="s">
        <v>65</v>
      </c>
      <c r="F166" s="7">
        <v>86010.54</v>
      </c>
      <c r="G166" s="7" t="s">
        <v>47</v>
      </c>
      <c r="H166" s="9">
        <v>43164.0</v>
      </c>
      <c r="I166" s="7">
        <v>1.0</v>
      </c>
      <c r="J166" s="7" t="s">
        <v>35</v>
      </c>
      <c r="K166" s="7" t="s">
        <v>172</v>
      </c>
      <c r="L166" s="7">
        <v>6.301369863013699</v>
      </c>
      <c r="M166" s="7" t="s">
        <v>39</v>
      </c>
    </row>
    <row r="167" ht="14.25" customHeight="1">
      <c r="A167" s="7" t="s">
        <v>725</v>
      </c>
      <c r="B167" s="7" t="s">
        <v>726</v>
      </c>
      <c r="C167" s="7" t="s">
        <v>727</v>
      </c>
      <c r="D167" s="7" t="s">
        <v>30</v>
      </c>
      <c r="E167" s="7" t="s">
        <v>109</v>
      </c>
      <c r="F167" s="7">
        <v>52270.22</v>
      </c>
      <c r="G167" s="7" t="s">
        <v>47</v>
      </c>
      <c r="H167" s="9">
        <v>43521.0</v>
      </c>
      <c r="I167" s="7">
        <v>0.3</v>
      </c>
      <c r="J167" s="7" t="s">
        <v>35</v>
      </c>
      <c r="K167" s="7" t="s">
        <v>172</v>
      </c>
      <c r="L167" s="7">
        <v>5.323287671232877</v>
      </c>
      <c r="M167" s="7" t="s">
        <v>51</v>
      </c>
    </row>
    <row r="168" ht="14.25" customHeight="1">
      <c r="A168" s="7" t="s">
        <v>728</v>
      </c>
      <c r="B168" s="7" t="s">
        <v>729</v>
      </c>
      <c r="C168" s="7" t="s">
        <v>730</v>
      </c>
      <c r="D168" s="7" t="s">
        <v>30</v>
      </c>
      <c r="E168" s="7" t="s">
        <v>31</v>
      </c>
      <c r="F168" s="7">
        <v>61624.77</v>
      </c>
      <c r="G168" s="7" t="s">
        <v>47</v>
      </c>
      <c r="H168" s="9">
        <v>43430.0</v>
      </c>
      <c r="I168" s="7">
        <v>0.3</v>
      </c>
      <c r="J168" s="7" t="s">
        <v>67</v>
      </c>
      <c r="K168" s="7" t="s">
        <v>74</v>
      </c>
      <c r="L168" s="7">
        <v>5.572602739726028</v>
      </c>
      <c r="M168" s="7" t="s">
        <v>51</v>
      </c>
    </row>
    <row r="169" ht="14.25" customHeight="1">
      <c r="A169" s="7" t="s">
        <v>731</v>
      </c>
      <c r="B169" s="7" t="s">
        <v>733</v>
      </c>
      <c r="C169" s="7" t="s">
        <v>737</v>
      </c>
      <c r="D169" s="7" t="s">
        <v>45</v>
      </c>
      <c r="E169" s="7" t="s">
        <v>103</v>
      </c>
      <c r="F169" s="7">
        <v>104903.79</v>
      </c>
      <c r="G169" s="7" t="s">
        <v>32</v>
      </c>
      <c r="H169" s="9">
        <v>43649.0</v>
      </c>
      <c r="I169" s="7">
        <v>1.0</v>
      </c>
      <c r="J169" s="7" t="s">
        <v>35</v>
      </c>
      <c r="K169" s="7" t="s">
        <v>172</v>
      </c>
      <c r="L169" s="7">
        <v>4.972602739726027</v>
      </c>
      <c r="M169" s="7" t="s">
        <v>39</v>
      </c>
    </row>
    <row r="170" ht="14.25" customHeight="1">
      <c r="A170" s="7" t="s">
        <v>413</v>
      </c>
      <c r="B170" s="7" t="s">
        <v>414</v>
      </c>
      <c r="C170" s="7" t="s">
        <v>415</v>
      </c>
      <c r="D170" s="7" t="s">
        <v>45</v>
      </c>
      <c r="E170" s="7" t="s">
        <v>57</v>
      </c>
      <c r="F170" s="7">
        <v>69057.32</v>
      </c>
      <c r="G170" s="7" t="s">
        <v>47</v>
      </c>
      <c r="H170" s="9">
        <v>43390.0</v>
      </c>
      <c r="I170" s="7">
        <v>1.0</v>
      </c>
      <c r="J170" s="7" t="s">
        <v>35</v>
      </c>
      <c r="K170" s="7" t="s">
        <v>84</v>
      </c>
      <c r="L170" s="7">
        <v>5.682191780821918</v>
      </c>
      <c r="M170" s="7" t="s">
        <v>39</v>
      </c>
    </row>
    <row r="171" ht="14.25" customHeight="1">
      <c r="A171" s="7" t="s">
        <v>509</v>
      </c>
      <c r="B171" s="7" t="s">
        <v>510</v>
      </c>
      <c r="C171" s="7" t="s">
        <v>511</v>
      </c>
      <c r="D171" s="7" t="s">
        <v>30</v>
      </c>
      <c r="E171" s="7" t="s">
        <v>91</v>
      </c>
      <c r="F171" s="7">
        <v>59258.19</v>
      </c>
      <c r="G171" s="7" t="s">
        <v>47</v>
      </c>
      <c r="H171" s="9">
        <v>43452.0</v>
      </c>
      <c r="I171" s="7">
        <v>0.8</v>
      </c>
      <c r="J171" s="7" t="s">
        <v>35</v>
      </c>
      <c r="K171" s="7" t="s">
        <v>50</v>
      </c>
      <c r="L171" s="7">
        <v>5.512328767123288</v>
      </c>
      <c r="M171" s="7" t="s">
        <v>51</v>
      </c>
    </row>
    <row r="172" ht="14.25" customHeight="1">
      <c r="A172" s="7" t="s">
        <v>739</v>
      </c>
      <c r="B172" s="7" t="s">
        <v>740</v>
      </c>
      <c r="C172" s="7" t="s">
        <v>741</v>
      </c>
      <c r="D172" s="7" t="s">
        <v>30</v>
      </c>
      <c r="E172" s="7" t="s">
        <v>115</v>
      </c>
      <c r="F172" s="7">
        <v>28160.79</v>
      </c>
      <c r="G172" s="7" t="s">
        <v>130</v>
      </c>
      <c r="H172" s="9">
        <v>43129.0</v>
      </c>
      <c r="I172" s="7">
        <v>1.0</v>
      </c>
      <c r="J172" s="7" t="s">
        <v>156</v>
      </c>
      <c r="K172" s="7" t="s">
        <v>36</v>
      </c>
      <c r="L172" s="7">
        <v>6.397260273972603</v>
      </c>
      <c r="M172" s="7" t="s">
        <v>39</v>
      </c>
    </row>
    <row r="173" ht="14.25" customHeight="1">
      <c r="A173" s="7" t="s">
        <v>742</v>
      </c>
      <c r="B173" s="7" t="s">
        <v>743</v>
      </c>
      <c r="C173" s="7" t="s">
        <v>744</v>
      </c>
      <c r="D173" s="7" t="s">
        <v>30</v>
      </c>
      <c r="E173" s="7" t="s">
        <v>31</v>
      </c>
      <c r="F173" s="7">
        <v>109143.17</v>
      </c>
      <c r="G173" s="7" t="s">
        <v>32</v>
      </c>
      <c r="H173" s="9">
        <v>43945.0</v>
      </c>
      <c r="I173" s="7">
        <v>1.0</v>
      </c>
      <c r="J173" s="7" t="s">
        <v>35</v>
      </c>
      <c r="K173" s="7" t="s">
        <v>84</v>
      </c>
      <c r="L173" s="7">
        <v>4.161643835616438</v>
      </c>
      <c r="M173" s="7" t="s">
        <v>39</v>
      </c>
    </row>
    <row r="174" ht="14.25" customHeight="1">
      <c r="A174" s="7" t="s">
        <v>745</v>
      </c>
      <c r="B174" s="7" t="s">
        <v>746</v>
      </c>
      <c r="C174" s="7" t="s">
        <v>747</v>
      </c>
      <c r="D174" s="7" t="s">
        <v>45</v>
      </c>
      <c r="E174" s="7" t="s">
        <v>103</v>
      </c>
      <c r="F174" s="7">
        <v>70755.5</v>
      </c>
      <c r="G174" s="7" t="s">
        <v>47</v>
      </c>
      <c r="H174" s="9">
        <v>44090.0</v>
      </c>
      <c r="I174" s="7">
        <v>0.8</v>
      </c>
      <c r="J174" s="7" t="s">
        <v>156</v>
      </c>
      <c r="K174" s="7" t="s">
        <v>74</v>
      </c>
      <c r="L174" s="7">
        <v>3.7643835616438355</v>
      </c>
      <c r="M174" s="7" t="s">
        <v>51</v>
      </c>
    </row>
    <row r="175" ht="14.25" customHeight="1">
      <c r="A175" s="7" t="s">
        <v>279</v>
      </c>
      <c r="B175" s="7" t="s">
        <v>280</v>
      </c>
      <c r="C175" s="7" t="s">
        <v>281</v>
      </c>
      <c r="D175" s="7" t="s">
        <v>30</v>
      </c>
      <c r="E175" s="7" t="s">
        <v>46</v>
      </c>
      <c r="F175" s="7">
        <v>73360.38</v>
      </c>
      <c r="G175" s="7" t="s">
        <v>47</v>
      </c>
      <c r="H175" s="9">
        <v>43972.0</v>
      </c>
      <c r="I175" s="7">
        <v>1.0</v>
      </c>
      <c r="J175" s="7" t="s">
        <v>156</v>
      </c>
      <c r="K175" s="7" t="s">
        <v>36</v>
      </c>
      <c r="L175" s="7">
        <v>4.087671232876712</v>
      </c>
      <c r="M175" s="7" t="s">
        <v>39</v>
      </c>
    </row>
    <row r="176" ht="14.25" customHeight="1">
      <c r="A176" s="7" t="s">
        <v>591</v>
      </c>
      <c r="B176" s="7" t="s">
        <v>748</v>
      </c>
      <c r="C176" s="7" t="s">
        <v>749</v>
      </c>
      <c r="D176" s="7" t="s">
        <v>45</v>
      </c>
      <c r="E176" s="7" t="s">
        <v>109</v>
      </c>
      <c r="F176" s="7">
        <v>76303.82</v>
      </c>
      <c r="G176" s="7" t="s">
        <v>47</v>
      </c>
      <c r="H176" s="9">
        <v>43458.0</v>
      </c>
      <c r="I176" s="7">
        <v>1.0</v>
      </c>
      <c r="J176" s="7" t="s">
        <v>67</v>
      </c>
      <c r="K176" s="7" t="s">
        <v>74</v>
      </c>
      <c r="L176" s="7">
        <v>5.495890410958904</v>
      </c>
      <c r="M176" s="7" t="s">
        <v>39</v>
      </c>
    </row>
    <row r="177" ht="14.25" customHeight="1">
      <c r="A177" s="7" t="s">
        <v>750</v>
      </c>
      <c r="B177" s="7" t="s">
        <v>751</v>
      </c>
      <c r="C177" s="7" t="s">
        <v>752</v>
      </c>
      <c r="D177" s="7" t="s">
        <v>45</v>
      </c>
      <c r="E177" s="7" t="s">
        <v>31</v>
      </c>
      <c r="F177" s="7">
        <v>58861.19</v>
      </c>
      <c r="G177" s="7" t="s">
        <v>47</v>
      </c>
      <c r="H177" s="9">
        <v>43654.0</v>
      </c>
      <c r="I177" s="7">
        <v>1.0</v>
      </c>
      <c r="J177" s="7" t="s">
        <v>35</v>
      </c>
      <c r="K177" s="7" t="s">
        <v>147</v>
      </c>
      <c r="L177" s="7">
        <v>4.958904109589041</v>
      </c>
      <c r="M177" s="7" t="s">
        <v>39</v>
      </c>
    </row>
    <row r="178" ht="14.25" customHeight="1">
      <c r="A178" s="7" t="s">
        <v>753</v>
      </c>
      <c r="B178" s="7" t="s">
        <v>754</v>
      </c>
      <c r="C178" s="7" t="s">
        <v>755</v>
      </c>
      <c r="D178" s="7" t="s">
        <v>45</v>
      </c>
      <c r="E178" s="7" t="s">
        <v>65</v>
      </c>
      <c r="F178" s="7">
        <v>58744.17</v>
      </c>
      <c r="G178" s="7" t="s">
        <v>47</v>
      </c>
      <c r="H178" s="9">
        <v>43171.0</v>
      </c>
      <c r="I178" s="7">
        <v>1.0</v>
      </c>
      <c r="J178" s="7" t="s">
        <v>156</v>
      </c>
      <c r="K178" s="7" t="s">
        <v>147</v>
      </c>
      <c r="L178" s="7">
        <v>6.282191780821917</v>
      </c>
      <c r="M178" s="7" t="s">
        <v>39</v>
      </c>
    </row>
    <row r="179" ht="14.25" customHeight="1">
      <c r="A179" s="7" t="s">
        <v>756</v>
      </c>
      <c r="B179" s="7" t="s">
        <v>757</v>
      </c>
      <c r="C179" s="7" t="s">
        <v>758</v>
      </c>
      <c r="D179" s="7" t="s">
        <v>45</v>
      </c>
      <c r="E179" s="7" t="s">
        <v>155</v>
      </c>
      <c r="F179" s="7">
        <v>73488.68</v>
      </c>
      <c r="G179" s="7" t="s">
        <v>47</v>
      </c>
      <c r="H179" s="9">
        <v>43570.0</v>
      </c>
      <c r="I179" s="7">
        <v>1.0</v>
      </c>
      <c r="J179" s="7" t="s">
        <v>67</v>
      </c>
      <c r="K179" s="7" t="s">
        <v>50</v>
      </c>
      <c r="L179" s="7">
        <v>5.189041095890411</v>
      </c>
      <c r="M179" s="7" t="s">
        <v>39</v>
      </c>
    </row>
    <row r="180" ht="14.25" customHeight="1">
      <c r="A180" s="7" t="s">
        <v>759</v>
      </c>
      <c r="B180" s="7" t="s">
        <v>760</v>
      </c>
      <c r="C180" s="7" t="s">
        <v>761</v>
      </c>
      <c r="D180" s="7" t="s">
        <v>45</v>
      </c>
      <c r="E180" s="7" t="s">
        <v>155</v>
      </c>
      <c r="F180" s="7">
        <v>92704.48</v>
      </c>
      <c r="G180" s="7" t="s">
        <v>47</v>
      </c>
      <c r="H180" s="9">
        <v>43430.0</v>
      </c>
      <c r="I180" s="7">
        <v>1.0</v>
      </c>
      <c r="J180" s="7" t="s">
        <v>67</v>
      </c>
      <c r="K180" s="7" t="s">
        <v>147</v>
      </c>
      <c r="L180" s="7">
        <v>5.572602739726028</v>
      </c>
      <c r="M180" s="7" t="s">
        <v>39</v>
      </c>
    </row>
    <row r="181" ht="14.25" customHeight="1">
      <c r="A181" s="7" t="s">
        <v>762</v>
      </c>
      <c r="B181" s="7" t="s">
        <v>763</v>
      </c>
      <c r="C181" s="7" t="s">
        <v>764</v>
      </c>
      <c r="D181" s="7" t="s">
        <v>30</v>
      </c>
      <c r="E181" s="7" t="s">
        <v>31</v>
      </c>
      <c r="F181" s="7">
        <v>78443.78</v>
      </c>
      <c r="G181" s="7" t="s">
        <v>47</v>
      </c>
      <c r="H181" s="9">
        <v>43599.0</v>
      </c>
      <c r="I181" s="7">
        <v>1.0</v>
      </c>
      <c r="J181" s="7" t="s">
        <v>67</v>
      </c>
      <c r="K181" s="7" t="s">
        <v>74</v>
      </c>
      <c r="L181" s="7">
        <v>5.109589041095891</v>
      </c>
      <c r="M181" s="7" t="s">
        <v>39</v>
      </c>
    </row>
    <row r="182" ht="14.25" customHeight="1">
      <c r="A182" s="7" t="s">
        <v>765</v>
      </c>
      <c r="B182" s="7" t="s">
        <v>766</v>
      </c>
      <c r="C182" s="7" t="s">
        <v>767</v>
      </c>
      <c r="D182" s="7" t="s">
        <v>45</v>
      </c>
      <c r="E182" s="7" t="s">
        <v>31</v>
      </c>
      <c r="F182" s="7">
        <v>97105.19</v>
      </c>
      <c r="G182" s="7" t="s">
        <v>47</v>
      </c>
      <c r="H182" s="9">
        <v>44425.0</v>
      </c>
      <c r="I182" s="7">
        <v>1.0</v>
      </c>
      <c r="J182" s="7" t="s">
        <v>35</v>
      </c>
      <c r="K182" s="7" t="s">
        <v>147</v>
      </c>
      <c r="L182" s="7">
        <v>2.8465753424657536</v>
      </c>
      <c r="M182" s="7" t="s">
        <v>39</v>
      </c>
    </row>
    <row r="183" ht="14.25" customHeight="1">
      <c r="A183" s="7" t="s">
        <v>768</v>
      </c>
      <c r="B183" s="7" t="s">
        <v>769</v>
      </c>
      <c r="C183" s="7" t="s">
        <v>770</v>
      </c>
      <c r="D183" s="7" t="s">
        <v>45</v>
      </c>
      <c r="E183" s="7" t="s">
        <v>57</v>
      </c>
      <c r="F183" s="7">
        <v>109163.39</v>
      </c>
      <c r="G183" s="7" t="s">
        <v>32</v>
      </c>
      <c r="H183" s="9">
        <v>44019.0</v>
      </c>
      <c r="I183" s="7">
        <v>0.8</v>
      </c>
      <c r="J183" s="7" t="s">
        <v>35</v>
      </c>
      <c r="K183" s="7" t="s">
        <v>50</v>
      </c>
      <c r="L183" s="7">
        <v>3.958904109589041</v>
      </c>
      <c r="M183" s="7" t="s">
        <v>51</v>
      </c>
    </row>
    <row r="184" ht="14.25" customHeight="1">
      <c r="A184" s="7" t="s">
        <v>771</v>
      </c>
      <c r="B184" s="7" t="s">
        <v>772</v>
      </c>
      <c r="C184" s="7" t="s">
        <v>773</v>
      </c>
      <c r="D184" s="7" t="s">
        <v>30</v>
      </c>
      <c r="E184" s="7" t="s">
        <v>103</v>
      </c>
      <c r="F184" s="7">
        <v>31816.57</v>
      </c>
      <c r="G184" s="7" t="s">
        <v>130</v>
      </c>
      <c r="H184" s="9">
        <v>43497.0</v>
      </c>
      <c r="I184" s="7">
        <v>0.3</v>
      </c>
      <c r="J184" s="7" t="s">
        <v>67</v>
      </c>
      <c r="K184" s="7" t="s">
        <v>36</v>
      </c>
      <c r="L184" s="7">
        <v>5.389041095890411</v>
      </c>
      <c r="M184" s="7" t="s">
        <v>51</v>
      </c>
    </row>
    <row r="185" ht="14.25" customHeight="1">
      <c r="A185" s="7" t="s">
        <v>774</v>
      </c>
      <c r="B185" s="7" t="s">
        <v>775</v>
      </c>
      <c r="C185" s="7" t="s">
        <v>776</v>
      </c>
      <c r="D185" s="7" t="s">
        <v>45</v>
      </c>
      <c r="E185" s="7" t="s">
        <v>31</v>
      </c>
      <c r="F185" s="7">
        <v>118442.54</v>
      </c>
      <c r="G185" s="7" t="s">
        <v>32</v>
      </c>
      <c r="H185" s="9">
        <v>44193.0</v>
      </c>
      <c r="I185" s="7">
        <v>1.0</v>
      </c>
      <c r="J185" s="7" t="s">
        <v>35</v>
      </c>
      <c r="K185" s="7" t="s">
        <v>158</v>
      </c>
      <c r="L185" s="7">
        <v>3.4821917808219176</v>
      </c>
      <c r="M185" s="7" t="s">
        <v>39</v>
      </c>
    </row>
    <row r="186" ht="14.25" customHeight="1">
      <c r="A186" s="7" t="s">
        <v>777</v>
      </c>
      <c r="B186" s="7" t="s">
        <v>778</v>
      </c>
      <c r="C186" s="7" t="s">
        <v>779</v>
      </c>
      <c r="D186" s="7" t="s">
        <v>45</v>
      </c>
      <c r="E186" s="7" t="s">
        <v>65</v>
      </c>
      <c r="F186" s="7">
        <v>84745.93</v>
      </c>
      <c r="G186" s="7" t="s">
        <v>47</v>
      </c>
      <c r="H186" s="9">
        <v>43707.0</v>
      </c>
      <c r="I186" s="7">
        <v>1.0</v>
      </c>
      <c r="J186" s="7" t="s">
        <v>35</v>
      </c>
      <c r="K186" s="7" t="s">
        <v>84</v>
      </c>
      <c r="L186" s="7">
        <v>4.813698630136987</v>
      </c>
      <c r="M186" s="7" t="s">
        <v>39</v>
      </c>
    </row>
    <row r="187" ht="14.25" customHeight="1">
      <c r="A187" s="7" t="s">
        <v>317</v>
      </c>
      <c r="B187" s="7" t="s">
        <v>318</v>
      </c>
      <c r="C187" s="7" t="s">
        <v>320</v>
      </c>
      <c r="D187" s="7" t="s">
        <v>45</v>
      </c>
      <c r="E187" s="7" t="s">
        <v>109</v>
      </c>
      <c r="F187" s="7">
        <v>69163.39</v>
      </c>
      <c r="G187" s="7" t="s">
        <v>47</v>
      </c>
      <c r="H187" s="9">
        <v>43397.0</v>
      </c>
      <c r="I187" s="7">
        <v>1.0</v>
      </c>
      <c r="J187" s="7" t="s">
        <v>35</v>
      </c>
      <c r="K187" s="7" t="s">
        <v>36</v>
      </c>
      <c r="L187" s="7">
        <v>5.663013698630137</v>
      </c>
      <c r="M187" s="7" t="s">
        <v>39</v>
      </c>
    </row>
    <row r="188" ht="14.25" customHeight="1">
      <c r="A188" s="7" t="s">
        <v>688</v>
      </c>
      <c r="B188" s="7" t="s">
        <v>689</v>
      </c>
      <c r="C188" s="7" t="s">
        <v>690</v>
      </c>
      <c r="D188" s="7" t="s">
        <v>45</v>
      </c>
      <c r="E188" s="7" t="s">
        <v>212</v>
      </c>
      <c r="F188" s="7">
        <v>84598.88</v>
      </c>
      <c r="G188" s="7" t="s">
        <v>47</v>
      </c>
      <c r="H188" s="9">
        <v>44116.0</v>
      </c>
      <c r="I188" s="7">
        <v>1.0</v>
      </c>
      <c r="J188" s="7" t="s">
        <v>67</v>
      </c>
      <c r="K188" s="7" t="s">
        <v>50</v>
      </c>
      <c r="L188" s="7">
        <v>3.6931506849315068</v>
      </c>
      <c r="M188" s="7" t="s">
        <v>39</v>
      </c>
    </row>
    <row r="189" ht="14.25" customHeight="1">
      <c r="A189" s="7" t="s">
        <v>780</v>
      </c>
      <c r="B189" s="7" t="s">
        <v>781</v>
      </c>
      <c r="C189" s="7" t="s">
        <v>782</v>
      </c>
      <c r="D189" s="7" t="s">
        <v>45</v>
      </c>
      <c r="E189" s="7" t="s">
        <v>254</v>
      </c>
      <c r="F189" s="7">
        <v>68795.48</v>
      </c>
      <c r="G189" s="7" t="s">
        <v>47</v>
      </c>
      <c r="H189" s="9">
        <v>44277.0</v>
      </c>
      <c r="I189" s="7">
        <v>0.2</v>
      </c>
      <c r="J189" s="7" t="s">
        <v>35</v>
      </c>
      <c r="K189" s="7" t="s">
        <v>36</v>
      </c>
      <c r="L189" s="7">
        <v>3.252054794520548</v>
      </c>
      <c r="M189" s="7" t="s">
        <v>51</v>
      </c>
    </row>
    <row r="190" ht="14.25" customHeight="1">
      <c r="A190" s="7" t="s">
        <v>783</v>
      </c>
      <c r="B190" s="7" t="s">
        <v>784</v>
      </c>
      <c r="C190" s="7" t="s">
        <v>785</v>
      </c>
      <c r="D190" s="7" t="s">
        <v>45</v>
      </c>
      <c r="E190" s="7" t="s">
        <v>57</v>
      </c>
      <c r="F190" s="7">
        <v>32269.91</v>
      </c>
      <c r="G190" s="7" t="s">
        <v>130</v>
      </c>
      <c r="H190" s="9">
        <v>43346.0</v>
      </c>
      <c r="I190" s="7">
        <v>1.0</v>
      </c>
      <c r="J190" s="7" t="s">
        <v>35</v>
      </c>
      <c r="K190" s="7" t="s">
        <v>36</v>
      </c>
      <c r="L190" s="7">
        <v>5.802739726027397</v>
      </c>
      <c r="M190" s="7" t="s">
        <v>39</v>
      </c>
    </row>
    <row r="191" ht="14.25" customHeight="1">
      <c r="A191" s="7" t="s">
        <v>786</v>
      </c>
      <c r="B191" s="7" t="s">
        <v>787</v>
      </c>
      <c r="C191" s="7" t="s">
        <v>788</v>
      </c>
      <c r="D191" s="7" t="s">
        <v>30</v>
      </c>
      <c r="E191" s="7" t="s">
        <v>115</v>
      </c>
      <c r="F191" s="7">
        <v>78705.93</v>
      </c>
      <c r="G191" s="7" t="s">
        <v>47</v>
      </c>
      <c r="H191" s="9">
        <v>43409.0</v>
      </c>
      <c r="I191" s="7">
        <v>1.0</v>
      </c>
      <c r="J191" s="7" t="s">
        <v>67</v>
      </c>
      <c r="K191" s="7" t="s">
        <v>50</v>
      </c>
      <c r="L191" s="7">
        <v>5.63013698630137</v>
      </c>
      <c r="M191" s="7" t="s">
        <v>39</v>
      </c>
    </row>
    <row r="192" ht="14.25" customHeight="1">
      <c r="A192" s="7" t="s">
        <v>789</v>
      </c>
      <c r="B192" s="7" t="s">
        <v>790</v>
      </c>
      <c r="C192" s="7" t="s">
        <v>791</v>
      </c>
      <c r="D192" s="7" t="s">
        <v>30</v>
      </c>
      <c r="E192" s="7" t="s">
        <v>103</v>
      </c>
      <c r="F192" s="7">
        <v>53535.62</v>
      </c>
      <c r="G192" s="7" t="s">
        <v>47</v>
      </c>
      <c r="H192" s="9">
        <v>44110.0</v>
      </c>
      <c r="I192" s="7">
        <v>0.5</v>
      </c>
      <c r="J192" s="7" t="s">
        <v>67</v>
      </c>
      <c r="K192" s="7" t="s">
        <v>50</v>
      </c>
      <c r="L192" s="7">
        <v>3.7095890410958905</v>
      </c>
      <c r="M192" s="7" t="s">
        <v>51</v>
      </c>
    </row>
    <row r="193" ht="14.25" customHeight="1">
      <c r="A193" s="7" t="s">
        <v>792</v>
      </c>
      <c r="B193" s="7" t="s">
        <v>500</v>
      </c>
      <c r="C193" s="7" t="s">
        <v>501</v>
      </c>
      <c r="D193" s="7" t="s">
        <v>45</v>
      </c>
      <c r="E193" s="7" t="s">
        <v>212</v>
      </c>
      <c r="F193" s="7">
        <v>41934.71</v>
      </c>
      <c r="G193" s="7" t="s">
        <v>130</v>
      </c>
      <c r="H193" s="9">
        <v>43780.0</v>
      </c>
      <c r="I193" s="7">
        <v>1.0</v>
      </c>
      <c r="J193" s="7" t="s">
        <v>35</v>
      </c>
      <c r="K193" s="7" t="s">
        <v>36</v>
      </c>
      <c r="L193" s="7">
        <v>4.6136986301369864</v>
      </c>
      <c r="M193" s="7" t="s">
        <v>39</v>
      </c>
    </row>
    <row r="194" ht="14.25" customHeight="1">
      <c r="A194" s="7" t="s">
        <v>793</v>
      </c>
      <c r="B194" s="7" t="s">
        <v>417</v>
      </c>
      <c r="C194" s="7" t="s">
        <v>794</v>
      </c>
      <c r="D194" s="7" t="s">
        <v>45</v>
      </c>
      <c r="E194" s="7" t="s">
        <v>254</v>
      </c>
      <c r="F194" s="7">
        <v>91929.69</v>
      </c>
      <c r="G194" s="7" t="s">
        <v>47</v>
      </c>
      <c r="H194" s="9">
        <v>44085.0</v>
      </c>
      <c r="I194" s="7">
        <v>1.0</v>
      </c>
      <c r="J194" s="7" t="s">
        <v>67</v>
      </c>
      <c r="K194" s="7" t="s">
        <v>36</v>
      </c>
      <c r="L194" s="7">
        <v>3.778082191780822</v>
      </c>
      <c r="M194" s="7" t="s">
        <v>39</v>
      </c>
    </row>
    <row r="195" ht="14.25" customHeight="1">
      <c r="A195" s="7" t="s">
        <v>795</v>
      </c>
      <c r="B195" s="7" t="s">
        <v>796</v>
      </c>
      <c r="C195" s="7" t="s">
        <v>797</v>
      </c>
      <c r="D195" s="7" t="s">
        <v>30</v>
      </c>
      <c r="E195" s="7" t="s">
        <v>115</v>
      </c>
      <c r="F195" s="7">
        <v>62281.24</v>
      </c>
      <c r="G195" s="7" t="s">
        <v>47</v>
      </c>
      <c r="H195" s="9">
        <v>43272.0</v>
      </c>
      <c r="I195" s="7">
        <v>1.0</v>
      </c>
      <c r="J195" s="7" t="s">
        <v>35</v>
      </c>
      <c r="K195" s="7" t="s">
        <v>36</v>
      </c>
      <c r="L195" s="7">
        <v>6.005479452054795</v>
      </c>
      <c r="M195" s="7" t="s">
        <v>39</v>
      </c>
    </row>
    <row r="196" ht="14.25" customHeight="1">
      <c r="A196" s="7" t="s">
        <v>798</v>
      </c>
      <c r="B196" s="7" t="s">
        <v>799</v>
      </c>
      <c r="C196" s="7" t="s">
        <v>800</v>
      </c>
      <c r="D196" s="7" t="s">
        <v>30</v>
      </c>
      <c r="E196" s="7" t="s">
        <v>109</v>
      </c>
      <c r="F196" s="7">
        <v>57925.91</v>
      </c>
      <c r="G196" s="7" t="s">
        <v>47</v>
      </c>
      <c r="H196" s="9">
        <v>43572.0</v>
      </c>
      <c r="I196" s="7">
        <v>0.5</v>
      </c>
      <c r="J196" s="7" t="s">
        <v>35</v>
      </c>
      <c r="K196" s="7" t="s">
        <v>84</v>
      </c>
      <c r="L196" s="7">
        <v>5.183561643835616</v>
      </c>
      <c r="M196" s="7" t="s">
        <v>51</v>
      </c>
    </row>
    <row r="197" ht="14.25" customHeight="1">
      <c r="A197" s="7" t="s">
        <v>801</v>
      </c>
      <c r="B197" s="7" t="s">
        <v>802</v>
      </c>
      <c r="C197" s="7" t="s">
        <v>803</v>
      </c>
      <c r="D197" s="7" t="s">
        <v>30</v>
      </c>
      <c r="E197" s="7" t="s">
        <v>31</v>
      </c>
      <c r="F197" s="7">
        <v>82239.53</v>
      </c>
      <c r="G197" s="7" t="s">
        <v>47</v>
      </c>
      <c r="H197" s="9">
        <v>43846.0</v>
      </c>
      <c r="I197" s="7">
        <v>1.0</v>
      </c>
      <c r="J197" s="7" t="s">
        <v>156</v>
      </c>
      <c r="K197" s="7" t="s">
        <v>147</v>
      </c>
      <c r="L197" s="7">
        <v>4.432876712328767</v>
      </c>
      <c r="M197" s="7" t="s">
        <v>39</v>
      </c>
    </row>
    <row r="198" ht="14.25" customHeight="1">
      <c r="A198" s="7" t="s">
        <v>804</v>
      </c>
      <c r="B198" s="7" t="s">
        <v>805</v>
      </c>
      <c r="C198" s="7" t="s">
        <v>806</v>
      </c>
      <c r="D198" s="7" t="s">
        <v>30</v>
      </c>
      <c r="E198" s="7" t="s">
        <v>31</v>
      </c>
      <c r="F198" s="7">
        <v>53184.02</v>
      </c>
      <c r="G198" s="7" t="s">
        <v>47</v>
      </c>
      <c r="H198" s="9">
        <v>43180.0</v>
      </c>
      <c r="I198" s="7">
        <v>1.0</v>
      </c>
      <c r="J198" s="7" t="s">
        <v>67</v>
      </c>
      <c r="K198" s="7" t="s">
        <v>36</v>
      </c>
      <c r="L198" s="7">
        <v>6.257534246575342</v>
      </c>
      <c r="M198" s="7" t="s">
        <v>39</v>
      </c>
    </row>
    <row r="199" ht="14.25" customHeight="1">
      <c r="A199" s="7" t="s">
        <v>807</v>
      </c>
      <c r="B199" s="7" t="s">
        <v>808</v>
      </c>
      <c r="C199" s="7" t="s">
        <v>809</v>
      </c>
      <c r="D199" s="7" t="s">
        <v>30</v>
      </c>
      <c r="E199" s="7" t="s">
        <v>109</v>
      </c>
      <c r="F199" s="7">
        <v>35936.31</v>
      </c>
      <c r="G199" s="7" t="s">
        <v>130</v>
      </c>
      <c r="H199" s="9">
        <v>43241.0</v>
      </c>
      <c r="I199" s="7">
        <v>1.0</v>
      </c>
      <c r="J199" s="7" t="s">
        <v>35</v>
      </c>
      <c r="K199" s="7" t="s">
        <v>172</v>
      </c>
      <c r="L199" s="7">
        <v>6.090410958904109</v>
      </c>
      <c r="M199" s="7" t="s">
        <v>39</v>
      </c>
    </row>
    <row r="200" ht="14.25" customHeight="1">
      <c r="A200" s="7" t="s">
        <v>810</v>
      </c>
      <c r="B200" s="7" t="s">
        <v>811</v>
      </c>
      <c r="C200" s="7" t="s">
        <v>812</v>
      </c>
      <c r="D200" s="7" t="s">
        <v>45</v>
      </c>
      <c r="E200" s="7" t="s">
        <v>57</v>
      </c>
      <c r="F200" s="7">
        <v>28305.08</v>
      </c>
      <c r="G200" s="7" t="s">
        <v>130</v>
      </c>
      <c r="H200" s="9">
        <v>43754.0</v>
      </c>
      <c r="I200" s="7">
        <v>1.0</v>
      </c>
      <c r="J200" s="7" t="s">
        <v>35</v>
      </c>
      <c r="K200" s="7" t="s">
        <v>36</v>
      </c>
      <c r="L200" s="7">
        <v>4.684931506849315</v>
      </c>
      <c r="M200" s="7" t="s">
        <v>39</v>
      </c>
    </row>
    <row r="201" ht="14.25" customHeight="1">
      <c r="A201" s="7" t="s">
        <v>813</v>
      </c>
      <c r="B201" s="7" t="s">
        <v>814</v>
      </c>
      <c r="C201" s="7" t="s">
        <v>815</v>
      </c>
      <c r="D201" s="7" t="s">
        <v>30</v>
      </c>
      <c r="E201" s="7" t="s">
        <v>266</v>
      </c>
      <c r="F201" s="7">
        <v>29774.76</v>
      </c>
      <c r="G201" s="7" t="s">
        <v>130</v>
      </c>
      <c r="H201" s="9">
        <v>44105.0</v>
      </c>
      <c r="I201" s="7">
        <v>1.0</v>
      </c>
      <c r="J201" s="7" t="s">
        <v>35</v>
      </c>
      <c r="K201" s="7" t="s">
        <v>84</v>
      </c>
      <c r="L201" s="7">
        <v>3.723287671232877</v>
      </c>
      <c r="M201" s="7" t="s">
        <v>39</v>
      </c>
    </row>
    <row r="202" ht="14.25" customHeight="1">
      <c r="A202" s="7" t="s">
        <v>816</v>
      </c>
      <c r="B202" s="7" t="s">
        <v>817</v>
      </c>
      <c r="C202" s="7" t="s">
        <v>818</v>
      </c>
      <c r="D202" s="7" t="s">
        <v>30</v>
      </c>
      <c r="E202" s="7" t="s">
        <v>109</v>
      </c>
      <c r="F202" s="7">
        <v>102515.81</v>
      </c>
      <c r="G202" s="7" t="s">
        <v>32</v>
      </c>
      <c r="H202" s="9">
        <v>43902.0</v>
      </c>
      <c r="I202" s="7">
        <v>1.0</v>
      </c>
      <c r="J202" s="7" t="s">
        <v>67</v>
      </c>
      <c r="K202" s="7" t="s">
        <v>172</v>
      </c>
      <c r="L202" s="7">
        <v>4.279452054794521</v>
      </c>
      <c r="M202" s="7" t="s">
        <v>39</v>
      </c>
    </row>
    <row r="203" ht="14.25" customHeight="1">
      <c r="A203" s="7" t="s">
        <v>416</v>
      </c>
      <c r="B203" s="7" t="s">
        <v>417</v>
      </c>
      <c r="C203" s="7" t="s">
        <v>418</v>
      </c>
      <c r="D203" s="7" t="s">
        <v>90</v>
      </c>
      <c r="E203" s="7" t="s">
        <v>155</v>
      </c>
      <c r="F203" s="7">
        <v>99448.78</v>
      </c>
      <c r="G203" s="7" t="s">
        <v>47</v>
      </c>
      <c r="H203" s="9">
        <v>43473.0</v>
      </c>
      <c r="I203" s="7">
        <v>1.0</v>
      </c>
      <c r="J203" s="7" t="s">
        <v>67</v>
      </c>
      <c r="K203" s="7" t="s">
        <v>84</v>
      </c>
      <c r="L203" s="7">
        <v>5.454794520547945</v>
      </c>
      <c r="M203" s="7" t="s">
        <v>39</v>
      </c>
    </row>
    <row r="204" ht="14.25" customHeight="1">
      <c r="A204" s="7" t="s">
        <v>780</v>
      </c>
      <c r="B204" s="7" t="s">
        <v>781</v>
      </c>
      <c r="C204" s="7" t="s">
        <v>782</v>
      </c>
      <c r="D204" s="7" t="s">
        <v>45</v>
      </c>
      <c r="E204" s="7" t="s">
        <v>254</v>
      </c>
      <c r="F204" s="7">
        <v>68795.48</v>
      </c>
      <c r="G204" s="7" t="s">
        <v>47</v>
      </c>
      <c r="H204" s="9">
        <v>44277.0</v>
      </c>
      <c r="I204" s="7">
        <v>0.2</v>
      </c>
      <c r="J204" s="7" t="s">
        <v>35</v>
      </c>
      <c r="K204" s="7" t="s">
        <v>36</v>
      </c>
      <c r="L204" s="7">
        <v>3.252054794520548</v>
      </c>
      <c r="M204" s="7" t="s">
        <v>51</v>
      </c>
    </row>
    <row r="205" ht="14.25" customHeight="1">
      <c r="A205" s="7" t="s">
        <v>484</v>
      </c>
      <c r="B205" s="7" t="s">
        <v>485</v>
      </c>
      <c r="C205" s="7" t="s">
        <v>486</v>
      </c>
      <c r="D205" s="7" t="s">
        <v>45</v>
      </c>
      <c r="E205" s="7" t="s">
        <v>115</v>
      </c>
      <c r="F205" s="7">
        <v>99683.67</v>
      </c>
      <c r="G205" s="7" t="s">
        <v>47</v>
      </c>
      <c r="H205" s="9">
        <v>43500.0</v>
      </c>
      <c r="I205" s="7">
        <v>1.0</v>
      </c>
      <c r="J205" s="7" t="s">
        <v>67</v>
      </c>
      <c r="K205" s="7" t="s">
        <v>50</v>
      </c>
      <c r="L205" s="7">
        <v>5.380821917808219</v>
      </c>
      <c r="M205" s="7" t="s">
        <v>39</v>
      </c>
    </row>
    <row r="206" ht="14.25" customHeight="1">
      <c r="A206" s="7" t="s">
        <v>819</v>
      </c>
      <c r="B206" s="7" t="s">
        <v>820</v>
      </c>
      <c r="C206" s="7" t="s">
        <v>821</v>
      </c>
      <c r="D206" s="7" t="s">
        <v>30</v>
      </c>
      <c r="E206" s="7" t="s">
        <v>109</v>
      </c>
      <c r="F206" s="7">
        <v>38825.18</v>
      </c>
      <c r="G206" s="7" t="s">
        <v>130</v>
      </c>
      <c r="H206" s="9">
        <v>43696.0</v>
      </c>
      <c r="I206" s="7">
        <v>1.0</v>
      </c>
      <c r="J206" s="7" t="s">
        <v>156</v>
      </c>
      <c r="K206" s="7" t="s">
        <v>36</v>
      </c>
      <c r="L206" s="7">
        <v>4.843835616438356</v>
      </c>
      <c r="M206" s="7" t="s">
        <v>39</v>
      </c>
    </row>
    <row r="207" ht="14.25" customHeight="1">
      <c r="A207" s="7" t="s">
        <v>822</v>
      </c>
      <c r="B207" s="7" t="s">
        <v>823</v>
      </c>
      <c r="C207" s="7" t="s">
        <v>824</v>
      </c>
      <c r="D207" s="7" t="s">
        <v>45</v>
      </c>
      <c r="E207" s="7" t="s">
        <v>57</v>
      </c>
      <c r="F207" s="7">
        <v>71229.42</v>
      </c>
      <c r="G207" s="7" t="s">
        <v>47</v>
      </c>
      <c r="H207" s="9">
        <v>44166.0</v>
      </c>
      <c r="I207" s="7">
        <v>1.0</v>
      </c>
      <c r="J207" s="7" t="s">
        <v>35</v>
      </c>
      <c r="K207" s="7" t="s">
        <v>74</v>
      </c>
      <c r="L207" s="7">
        <v>3.5561643835616437</v>
      </c>
      <c r="M207" s="7" t="s">
        <v>39</v>
      </c>
    </row>
    <row r="208" ht="14.25" customHeight="1">
      <c r="A208" s="7" t="s">
        <v>825</v>
      </c>
      <c r="B208" s="7" t="s">
        <v>462</v>
      </c>
      <c r="C208" s="7" t="s">
        <v>463</v>
      </c>
      <c r="D208" s="7" t="s">
        <v>45</v>
      </c>
      <c r="E208" s="7" t="s">
        <v>46</v>
      </c>
      <c r="F208" s="7">
        <v>80695.74</v>
      </c>
      <c r="G208" s="7" t="s">
        <v>47</v>
      </c>
      <c r="H208" s="9">
        <v>43360.0</v>
      </c>
      <c r="I208" s="7">
        <v>1.0</v>
      </c>
      <c r="J208" s="7" t="s">
        <v>35</v>
      </c>
      <c r="K208" s="7" t="s">
        <v>147</v>
      </c>
      <c r="L208" s="7">
        <v>5.764383561643836</v>
      </c>
      <c r="M208" s="7" t="s">
        <v>39</v>
      </c>
    </row>
    <row r="209" ht="14.25" customHeight="1">
      <c r="A209" s="7" t="s">
        <v>826</v>
      </c>
      <c r="B209" s="7" t="s">
        <v>827</v>
      </c>
      <c r="C209" s="7" t="s">
        <v>828</v>
      </c>
      <c r="D209" s="7" t="s">
        <v>45</v>
      </c>
      <c r="E209" s="7" t="s">
        <v>254</v>
      </c>
      <c r="F209" s="7">
        <v>72502.61</v>
      </c>
      <c r="G209" s="7" t="s">
        <v>47</v>
      </c>
      <c r="H209" s="9">
        <v>44235.0</v>
      </c>
      <c r="I209" s="7">
        <v>1.0</v>
      </c>
      <c r="J209" s="7" t="s">
        <v>35</v>
      </c>
      <c r="K209" s="7" t="s">
        <v>84</v>
      </c>
      <c r="L209" s="7">
        <v>3.367123287671233</v>
      </c>
      <c r="M209" s="7" t="s">
        <v>39</v>
      </c>
    </row>
    <row r="210" ht="14.25" customHeight="1">
      <c r="A210" s="7" t="s">
        <v>829</v>
      </c>
      <c r="B210" s="7" t="s">
        <v>830</v>
      </c>
      <c r="C210" s="7" t="s">
        <v>831</v>
      </c>
      <c r="D210" s="7" t="s">
        <v>45</v>
      </c>
      <c r="E210" s="7" t="s">
        <v>254</v>
      </c>
      <c r="F210" s="7">
        <v>68197.9</v>
      </c>
      <c r="G210" s="7" t="s">
        <v>47</v>
      </c>
      <c r="H210" s="9">
        <v>44119.0</v>
      </c>
      <c r="I210" s="7">
        <v>1.0</v>
      </c>
      <c r="J210" s="7" t="s">
        <v>35</v>
      </c>
      <c r="K210" s="7" t="s">
        <v>158</v>
      </c>
      <c r="L210" s="7">
        <v>3.684931506849315</v>
      </c>
      <c r="M210" s="7" t="s">
        <v>39</v>
      </c>
    </row>
    <row r="211" ht="14.25" customHeight="1">
      <c r="A211" s="7" t="s">
        <v>832</v>
      </c>
      <c r="B211" s="7" t="s">
        <v>426</v>
      </c>
      <c r="C211" s="7" t="s">
        <v>833</v>
      </c>
      <c r="D211" s="7" t="s">
        <v>30</v>
      </c>
      <c r="E211" s="7" t="s">
        <v>254</v>
      </c>
      <c r="F211" s="7">
        <v>89960.6</v>
      </c>
      <c r="G211" s="7" t="s">
        <v>47</v>
      </c>
      <c r="H211" s="9">
        <v>43515.0</v>
      </c>
      <c r="I211" s="7">
        <v>1.0</v>
      </c>
      <c r="J211" s="7" t="s">
        <v>67</v>
      </c>
      <c r="K211" s="7" t="s">
        <v>158</v>
      </c>
      <c r="L211" s="7">
        <v>5.33972602739726</v>
      </c>
      <c r="M211" s="7" t="s">
        <v>39</v>
      </c>
    </row>
    <row r="212" ht="14.25" customHeight="1">
      <c r="A212" s="7" t="s">
        <v>676</v>
      </c>
      <c r="B212" s="7" t="s">
        <v>834</v>
      </c>
      <c r="C212" s="7" t="s">
        <v>835</v>
      </c>
      <c r="D212" s="7" t="s">
        <v>30</v>
      </c>
      <c r="E212" s="7" t="s">
        <v>266</v>
      </c>
      <c r="F212" s="7">
        <v>28481.16</v>
      </c>
      <c r="G212" s="7" t="s">
        <v>130</v>
      </c>
      <c r="H212" s="9">
        <v>43916.0</v>
      </c>
      <c r="I212" s="7">
        <v>1.0</v>
      </c>
      <c r="J212" s="7" t="s">
        <v>35</v>
      </c>
      <c r="K212" s="7" t="s">
        <v>74</v>
      </c>
      <c r="L212" s="7">
        <v>4.241095890410959</v>
      </c>
      <c r="M212" s="7" t="s">
        <v>39</v>
      </c>
    </row>
    <row r="213" ht="14.25" customHeight="1">
      <c r="A213" s="7" t="s">
        <v>380</v>
      </c>
      <c r="B213" s="7" t="s">
        <v>836</v>
      </c>
      <c r="C213" s="7" t="s">
        <v>837</v>
      </c>
      <c r="D213" s="7" t="s">
        <v>45</v>
      </c>
      <c r="E213" s="7" t="s">
        <v>65</v>
      </c>
      <c r="F213" s="7">
        <v>116767.63</v>
      </c>
      <c r="G213" s="7" t="s">
        <v>32</v>
      </c>
      <c r="H213" s="9">
        <v>43949.0</v>
      </c>
      <c r="I213" s="7">
        <v>0.4</v>
      </c>
      <c r="J213" s="7" t="s">
        <v>156</v>
      </c>
      <c r="K213" s="7" t="s">
        <v>172</v>
      </c>
      <c r="L213" s="7">
        <v>4.1506849315068495</v>
      </c>
      <c r="M213" s="7" t="s">
        <v>51</v>
      </c>
    </row>
    <row r="214" ht="14.25" customHeight="1">
      <c r="A214" s="7" t="s">
        <v>838</v>
      </c>
      <c r="B214" s="7" t="s">
        <v>839</v>
      </c>
      <c r="C214" s="7" t="s">
        <v>840</v>
      </c>
      <c r="D214" s="7" t="s">
        <v>30</v>
      </c>
      <c r="E214" s="7" t="s">
        <v>254</v>
      </c>
      <c r="F214" s="7">
        <v>80360.41</v>
      </c>
      <c r="G214" s="7" t="s">
        <v>47</v>
      </c>
      <c r="H214" s="9">
        <v>44167.0</v>
      </c>
      <c r="I214" s="7">
        <v>1.0</v>
      </c>
      <c r="J214" s="7" t="s">
        <v>35</v>
      </c>
      <c r="K214" s="7" t="s">
        <v>36</v>
      </c>
      <c r="L214" s="7">
        <v>3.5534246575342467</v>
      </c>
      <c r="M214" s="7" t="s">
        <v>39</v>
      </c>
    </row>
    <row r="215" ht="14.25" customHeight="1">
      <c r="A215" s="7" t="s">
        <v>841</v>
      </c>
      <c r="B215" s="7" t="s">
        <v>842</v>
      </c>
      <c r="C215" s="7" t="s">
        <v>843</v>
      </c>
      <c r="D215" s="7" t="s">
        <v>45</v>
      </c>
      <c r="E215" s="7" t="s">
        <v>212</v>
      </c>
      <c r="F215" s="7">
        <v>77045.44</v>
      </c>
      <c r="G215" s="7" t="s">
        <v>47</v>
      </c>
      <c r="H215" s="9">
        <v>43636.0</v>
      </c>
      <c r="I215" s="7">
        <v>1.0</v>
      </c>
      <c r="J215" s="7" t="s">
        <v>35</v>
      </c>
      <c r="K215" s="7" t="s">
        <v>36</v>
      </c>
      <c r="L215" s="7">
        <v>5.008219178082192</v>
      </c>
      <c r="M215" s="7" t="s">
        <v>39</v>
      </c>
    </row>
    <row r="216" ht="14.25" customHeight="1">
      <c r="A216" s="7" t="s">
        <v>844</v>
      </c>
      <c r="B216" s="7" t="s">
        <v>845</v>
      </c>
      <c r="C216" s="7" t="s">
        <v>846</v>
      </c>
      <c r="D216" s="7" t="s">
        <v>45</v>
      </c>
      <c r="E216" s="7" t="s">
        <v>65</v>
      </c>
      <c r="F216" s="7">
        <v>96135.75</v>
      </c>
      <c r="G216" s="7" t="s">
        <v>47</v>
      </c>
      <c r="H216" s="9">
        <v>44025.0</v>
      </c>
      <c r="I216" s="7">
        <v>0.3</v>
      </c>
      <c r="J216" s="7" t="s">
        <v>35</v>
      </c>
      <c r="K216" s="7" t="s">
        <v>84</v>
      </c>
      <c r="L216" s="7">
        <v>3.9424657534246577</v>
      </c>
      <c r="M216" s="7" t="s">
        <v>51</v>
      </c>
    </row>
    <row r="217" ht="14.25" customHeight="1">
      <c r="A217" s="7" t="s">
        <v>847</v>
      </c>
      <c r="B217" s="7" t="s">
        <v>848</v>
      </c>
      <c r="C217" s="7" t="s">
        <v>849</v>
      </c>
      <c r="D217" s="7" t="s">
        <v>45</v>
      </c>
      <c r="E217" s="7" t="s">
        <v>212</v>
      </c>
      <c r="F217" s="7">
        <v>102129.37</v>
      </c>
      <c r="G217" s="7" t="s">
        <v>32</v>
      </c>
      <c r="H217" s="9">
        <v>44396.0</v>
      </c>
      <c r="I217" s="7">
        <v>1.0</v>
      </c>
      <c r="J217" s="7" t="s">
        <v>35</v>
      </c>
      <c r="K217" s="7" t="s">
        <v>147</v>
      </c>
      <c r="L217" s="7">
        <v>2.926027397260274</v>
      </c>
      <c r="M217" s="7" t="s">
        <v>39</v>
      </c>
    </row>
    <row r="218" ht="14.25" customHeight="1">
      <c r="A218" s="7" t="s">
        <v>850</v>
      </c>
      <c r="B218" s="7" t="s">
        <v>851</v>
      </c>
      <c r="C218" s="7" t="s">
        <v>852</v>
      </c>
      <c r="D218" s="7" t="s">
        <v>45</v>
      </c>
      <c r="E218" s="7" t="s">
        <v>65</v>
      </c>
      <c r="F218" s="7">
        <v>99965.97</v>
      </c>
      <c r="G218" s="7" t="s">
        <v>47</v>
      </c>
      <c r="H218" s="9">
        <v>43133.0</v>
      </c>
      <c r="I218" s="7">
        <v>1.0</v>
      </c>
      <c r="J218" s="7" t="s">
        <v>35</v>
      </c>
      <c r="K218" s="7" t="s">
        <v>36</v>
      </c>
      <c r="L218" s="7">
        <v>6.3863013698630136</v>
      </c>
      <c r="M218" s="7" t="s">
        <v>39</v>
      </c>
    </row>
    <row r="219" ht="14.25" customHeight="1">
      <c r="A219" s="7" t="s">
        <v>853</v>
      </c>
      <c r="B219" s="7" t="s">
        <v>854</v>
      </c>
      <c r="C219" s="7" t="s">
        <v>855</v>
      </c>
      <c r="D219" s="7" t="s">
        <v>45</v>
      </c>
      <c r="E219" s="7" t="s">
        <v>254</v>
      </c>
      <c r="F219" s="7">
        <v>49625.64</v>
      </c>
      <c r="G219" s="7" t="s">
        <v>130</v>
      </c>
      <c r="H219" s="9">
        <v>44384.0</v>
      </c>
      <c r="I219" s="7">
        <v>0.5</v>
      </c>
      <c r="J219" s="7" t="s">
        <v>67</v>
      </c>
      <c r="K219" s="7" t="s">
        <v>36</v>
      </c>
      <c r="L219" s="7">
        <v>2.958904109589041</v>
      </c>
      <c r="M219" s="7" t="s">
        <v>51</v>
      </c>
    </row>
    <row r="220" ht="14.25" customHeight="1">
      <c r="A220" s="7" t="s">
        <v>856</v>
      </c>
      <c r="B220" s="7" t="s">
        <v>857</v>
      </c>
      <c r="C220" s="7" t="s">
        <v>858</v>
      </c>
      <c r="D220" s="7" t="s">
        <v>45</v>
      </c>
      <c r="E220" s="7" t="s">
        <v>31</v>
      </c>
      <c r="F220" s="7">
        <v>94815.28</v>
      </c>
      <c r="G220" s="7" t="s">
        <v>47</v>
      </c>
      <c r="H220" s="9">
        <v>43440.0</v>
      </c>
      <c r="I220" s="7">
        <v>1.0</v>
      </c>
      <c r="J220" s="7" t="s">
        <v>35</v>
      </c>
      <c r="K220" s="7" t="s">
        <v>50</v>
      </c>
      <c r="L220" s="7">
        <v>5.545205479452055</v>
      </c>
      <c r="M220" s="7" t="s">
        <v>39</v>
      </c>
    </row>
    <row r="221" ht="14.25" customHeight="1">
      <c r="A221" s="7" t="s">
        <v>859</v>
      </c>
      <c r="B221" s="7" t="s">
        <v>860</v>
      </c>
      <c r="C221" s="7" t="s">
        <v>861</v>
      </c>
      <c r="D221" s="7" t="s">
        <v>30</v>
      </c>
      <c r="E221" s="7" t="s">
        <v>91</v>
      </c>
      <c r="F221" s="7">
        <v>36714.38</v>
      </c>
      <c r="G221" s="7" t="s">
        <v>130</v>
      </c>
      <c r="H221" s="9">
        <v>44175.0</v>
      </c>
      <c r="I221" s="7">
        <v>1.0</v>
      </c>
      <c r="J221" s="7" t="s">
        <v>35</v>
      </c>
      <c r="K221" s="7" t="s">
        <v>172</v>
      </c>
      <c r="L221" s="7">
        <v>3.5315068493150683</v>
      </c>
      <c r="M221" s="7" t="s">
        <v>39</v>
      </c>
    </row>
    <row r="222" ht="14.25" customHeight="1">
      <c r="A222" s="7" t="s">
        <v>862</v>
      </c>
      <c r="B222" s="7" t="s">
        <v>863</v>
      </c>
      <c r="C222" s="7" t="s">
        <v>864</v>
      </c>
      <c r="D222" s="7" t="s">
        <v>45</v>
      </c>
      <c r="E222" s="7" t="s">
        <v>103</v>
      </c>
      <c r="F222" s="7">
        <v>67905.8</v>
      </c>
      <c r="G222" s="7" t="s">
        <v>47</v>
      </c>
      <c r="H222" s="9">
        <v>44194.0</v>
      </c>
      <c r="I222" s="7">
        <v>1.0</v>
      </c>
      <c r="J222" s="7" t="s">
        <v>35</v>
      </c>
      <c r="K222" s="7" t="s">
        <v>36</v>
      </c>
      <c r="L222" s="7">
        <v>3.4794520547945207</v>
      </c>
      <c r="M222" s="7" t="s">
        <v>39</v>
      </c>
    </row>
    <row r="223" ht="14.25" customHeight="1">
      <c r="A223" s="7" t="s">
        <v>865</v>
      </c>
      <c r="B223" s="7" t="s">
        <v>866</v>
      </c>
      <c r="C223" s="7" t="s">
        <v>867</v>
      </c>
      <c r="D223" s="7" t="s">
        <v>30</v>
      </c>
      <c r="E223" s="7" t="s">
        <v>155</v>
      </c>
      <c r="F223" s="7">
        <v>69862.38</v>
      </c>
      <c r="G223" s="7" t="s">
        <v>47</v>
      </c>
      <c r="H223" s="9">
        <v>43458.0</v>
      </c>
      <c r="I223" s="7">
        <v>1.0</v>
      </c>
      <c r="J223" s="7" t="s">
        <v>35</v>
      </c>
      <c r="K223" s="7" t="s">
        <v>84</v>
      </c>
      <c r="L223" s="7">
        <v>5.495890410958904</v>
      </c>
      <c r="M223" s="7" t="s">
        <v>39</v>
      </c>
    </row>
    <row r="224" ht="14.25" customHeight="1">
      <c r="A224" s="7" t="s">
        <v>579</v>
      </c>
      <c r="B224" s="7" t="s">
        <v>580</v>
      </c>
      <c r="C224" s="7" t="s">
        <v>581</v>
      </c>
      <c r="D224" s="7" t="s">
        <v>30</v>
      </c>
      <c r="E224" s="7" t="s">
        <v>109</v>
      </c>
      <c r="F224" s="7">
        <v>36547.58</v>
      </c>
      <c r="G224" s="7" t="s">
        <v>130</v>
      </c>
      <c r="H224" s="9">
        <v>43416.0</v>
      </c>
      <c r="I224" s="7">
        <v>1.0</v>
      </c>
      <c r="J224" s="7" t="s">
        <v>35</v>
      </c>
      <c r="K224" s="7" t="s">
        <v>36</v>
      </c>
      <c r="L224" s="7">
        <v>5.610958904109589</v>
      </c>
      <c r="M224" s="7" t="s">
        <v>39</v>
      </c>
    </row>
    <row r="225" ht="14.25" customHeight="1">
      <c r="A225" s="7" t="s">
        <v>868</v>
      </c>
      <c r="B225" s="7" t="s">
        <v>869</v>
      </c>
      <c r="C225" s="7" t="s">
        <v>870</v>
      </c>
      <c r="D225" s="7" t="s">
        <v>30</v>
      </c>
      <c r="E225" s="7" t="s">
        <v>46</v>
      </c>
      <c r="F225" s="7">
        <v>106400.02</v>
      </c>
      <c r="G225" s="7" t="s">
        <v>32</v>
      </c>
      <c r="H225" s="9">
        <v>44021.0</v>
      </c>
      <c r="I225" s="7">
        <v>1.0</v>
      </c>
      <c r="J225" s="7" t="s">
        <v>156</v>
      </c>
      <c r="K225" s="7" t="s">
        <v>172</v>
      </c>
      <c r="L225" s="7">
        <v>3.9534246575342467</v>
      </c>
      <c r="M225" s="7" t="s">
        <v>39</v>
      </c>
    </row>
    <row r="226" ht="14.25" customHeight="1">
      <c r="A226" s="7" t="s">
        <v>871</v>
      </c>
      <c r="B226" s="7" t="s">
        <v>872</v>
      </c>
      <c r="C226" s="7" t="s">
        <v>873</v>
      </c>
      <c r="D226" s="7" t="s">
        <v>30</v>
      </c>
      <c r="E226" s="7" t="s">
        <v>155</v>
      </c>
      <c r="F226" s="7">
        <v>103494.94</v>
      </c>
      <c r="G226" s="7" t="s">
        <v>32</v>
      </c>
      <c r="H226" s="9">
        <v>43256.0</v>
      </c>
      <c r="I226" s="7">
        <v>1.0</v>
      </c>
      <c r="J226" s="7" t="s">
        <v>35</v>
      </c>
      <c r="K226" s="7" t="s">
        <v>36</v>
      </c>
      <c r="L226" s="7">
        <v>6.049315068493151</v>
      </c>
      <c r="M226" s="7" t="s">
        <v>39</v>
      </c>
    </row>
    <row r="227" ht="14.25" customHeight="1">
      <c r="A227" s="7" t="s">
        <v>702</v>
      </c>
      <c r="B227" s="7" t="s">
        <v>703</v>
      </c>
      <c r="C227" s="7" t="s">
        <v>704</v>
      </c>
      <c r="D227" s="7" t="s">
        <v>30</v>
      </c>
      <c r="E227" s="7" t="s">
        <v>212</v>
      </c>
      <c r="F227" s="7">
        <v>96753.78</v>
      </c>
      <c r="G227" s="7" t="s">
        <v>47</v>
      </c>
      <c r="H227" s="9">
        <v>44494.0</v>
      </c>
      <c r="I227" s="7">
        <v>1.0</v>
      </c>
      <c r="J227" s="7" t="s">
        <v>35</v>
      </c>
      <c r="K227" s="7" t="s">
        <v>158</v>
      </c>
      <c r="L227" s="7">
        <v>2.6575342465753424</v>
      </c>
      <c r="M227" s="7" t="s">
        <v>39</v>
      </c>
    </row>
    <row r="228" ht="14.25" customHeight="1">
      <c r="A228" s="7" t="s">
        <v>825</v>
      </c>
      <c r="B228" s="7" t="s">
        <v>462</v>
      </c>
      <c r="C228" s="7" t="s">
        <v>463</v>
      </c>
      <c r="D228" s="7" t="s">
        <v>45</v>
      </c>
      <c r="E228" s="7" t="s">
        <v>46</v>
      </c>
      <c r="F228" s="7">
        <v>80695.74</v>
      </c>
      <c r="G228" s="7" t="s">
        <v>47</v>
      </c>
      <c r="H228" s="9">
        <v>43360.0</v>
      </c>
      <c r="I228" s="7">
        <v>1.0</v>
      </c>
      <c r="J228" s="7" t="s">
        <v>35</v>
      </c>
      <c r="K228" s="7" t="s">
        <v>147</v>
      </c>
      <c r="L228" s="7">
        <v>5.764383561643836</v>
      </c>
      <c r="M228" s="7" t="s">
        <v>39</v>
      </c>
    </row>
    <row r="229" ht="14.25" customHeight="1">
      <c r="A229" s="7" t="s">
        <v>874</v>
      </c>
      <c r="B229" s="7" t="s">
        <v>875</v>
      </c>
      <c r="C229" s="7" t="s">
        <v>876</v>
      </c>
      <c r="D229" s="7" t="s">
        <v>45</v>
      </c>
      <c r="E229" s="7" t="s">
        <v>266</v>
      </c>
      <c r="F229" s="7">
        <v>61213.01</v>
      </c>
      <c r="G229" s="7" t="s">
        <v>47</v>
      </c>
      <c r="H229" s="9">
        <v>44365.0</v>
      </c>
      <c r="I229" s="7">
        <v>1.0</v>
      </c>
      <c r="J229" s="7" t="s">
        <v>35</v>
      </c>
      <c r="K229" s="7" t="s">
        <v>172</v>
      </c>
      <c r="L229" s="7">
        <v>3.010958904109589</v>
      </c>
      <c r="M229" s="7" t="s">
        <v>39</v>
      </c>
    </row>
    <row r="230" ht="14.25" customHeight="1">
      <c r="A230" s="7" t="s">
        <v>877</v>
      </c>
      <c r="B230" s="7" t="s">
        <v>878</v>
      </c>
      <c r="C230" s="7" t="s">
        <v>879</v>
      </c>
      <c r="D230" s="7" t="s">
        <v>30</v>
      </c>
      <c r="E230" s="7" t="s">
        <v>115</v>
      </c>
      <c r="F230" s="7">
        <v>69709.51</v>
      </c>
      <c r="G230" s="7" t="s">
        <v>47</v>
      </c>
      <c r="H230" s="9">
        <v>43472.0</v>
      </c>
      <c r="I230" s="7">
        <v>1.0</v>
      </c>
      <c r="J230" s="7" t="s">
        <v>35</v>
      </c>
      <c r="K230" s="7" t="s">
        <v>74</v>
      </c>
      <c r="L230" s="7">
        <v>5.457534246575342</v>
      </c>
      <c r="M230" s="7" t="s">
        <v>39</v>
      </c>
    </row>
    <row r="231" ht="14.25" customHeight="1">
      <c r="A231" s="7" t="s">
        <v>880</v>
      </c>
      <c r="B231" s="7" t="s">
        <v>881</v>
      </c>
      <c r="C231" s="7" t="s">
        <v>882</v>
      </c>
      <c r="D231" s="7" t="s">
        <v>45</v>
      </c>
      <c r="E231" s="7" t="s">
        <v>115</v>
      </c>
      <c r="F231" s="7">
        <v>46751.7</v>
      </c>
      <c r="G231" s="7" t="s">
        <v>130</v>
      </c>
      <c r="H231" s="9">
        <v>43843.0</v>
      </c>
      <c r="I231" s="7">
        <v>1.0</v>
      </c>
      <c r="J231" s="7" t="s">
        <v>67</v>
      </c>
      <c r="K231" s="7" t="s">
        <v>74</v>
      </c>
      <c r="L231" s="7">
        <v>4.441095890410959</v>
      </c>
      <c r="M231" s="7" t="s">
        <v>39</v>
      </c>
    </row>
    <row r="232" ht="14.25" customHeight="1">
      <c r="A232" s="7" t="s">
        <v>883</v>
      </c>
      <c r="B232" s="7" t="s">
        <v>884</v>
      </c>
      <c r="C232" s="7" t="s">
        <v>885</v>
      </c>
      <c r="D232" s="7" t="s">
        <v>30</v>
      </c>
      <c r="E232" s="7" t="s">
        <v>57</v>
      </c>
      <c r="F232" s="7">
        <v>77096.05</v>
      </c>
      <c r="G232" s="7" t="s">
        <v>47</v>
      </c>
      <c r="H232" s="9">
        <v>43217.0</v>
      </c>
      <c r="I232" s="7">
        <v>1.0</v>
      </c>
      <c r="J232" s="7" t="s">
        <v>35</v>
      </c>
      <c r="K232" s="7" t="s">
        <v>172</v>
      </c>
      <c r="L232" s="7">
        <v>6.156164383561644</v>
      </c>
      <c r="M232" s="7" t="s">
        <v>39</v>
      </c>
    </row>
    <row r="233" ht="14.25" customHeight="1">
      <c r="A233" s="7" t="s">
        <v>358</v>
      </c>
      <c r="B233" s="7" t="s">
        <v>359</v>
      </c>
      <c r="C233" s="7" t="s">
        <v>360</v>
      </c>
      <c r="D233" s="7" t="s">
        <v>45</v>
      </c>
      <c r="E233" s="7" t="s">
        <v>254</v>
      </c>
      <c r="F233" s="7">
        <v>67818.14</v>
      </c>
      <c r="G233" s="7" t="s">
        <v>47</v>
      </c>
      <c r="H233" s="9">
        <v>43406.0</v>
      </c>
      <c r="I233" s="7">
        <v>0.6</v>
      </c>
      <c r="J233" s="7" t="s">
        <v>67</v>
      </c>
      <c r="K233" s="7" t="s">
        <v>36</v>
      </c>
      <c r="L233" s="7">
        <v>5.638356164383562</v>
      </c>
      <c r="M233" s="7" t="s">
        <v>51</v>
      </c>
    </row>
    <row r="234" ht="14.25" customHeight="1">
      <c r="A234" s="7" t="s">
        <v>886</v>
      </c>
      <c r="B234" s="7" t="s">
        <v>887</v>
      </c>
      <c r="C234" s="7" t="s">
        <v>888</v>
      </c>
      <c r="D234" s="7" t="s">
        <v>30</v>
      </c>
      <c r="E234" s="7" t="s">
        <v>254</v>
      </c>
      <c r="F234" s="7">
        <v>77743.15</v>
      </c>
      <c r="G234" s="7" t="s">
        <v>47</v>
      </c>
      <c r="H234" s="9">
        <v>43920.0</v>
      </c>
      <c r="I234" s="7">
        <v>1.0</v>
      </c>
      <c r="J234" s="7" t="s">
        <v>35</v>
      </c>
      <c r="K234" s="7" t="s">
        <v>172</v>
      </c>
      <c r="L234" s="7">
        <v>4.23013698630137</v>
      </c>
      <c r="M234" s="7" t="s">
        <v>39</v>
      </c>
    </row>
    <row r="235" ht="14.25" customHeight="1">
      <c r="A235" s="7" t="s">
        <v>889</v>
      </c>
      <c r="B235" s="7" t="s">
        <v>890</v>
      </c>
      <c r="C235" s="7" t="s">
        <v>891</v>
      </c>
      <c r="D235" s="7" t="s">
        <v>30</v>
      </c>
      <c r="E235" s="7" t="s">
        <v>155</v>
      </c>
      <c r="F235" s="7">
        <v>48525.71</v>
      </c>
      <c r="G235" s="7" t="s">
        <v>130</v>
      </c>
      <c r="H235" s="9">
        <v>43264.0</v>
      </c>
      <c r="I235" s="7">
        <v>1.0</v>
      </c>
      <c r="J235" s="7" t="s">
        <v>35</v>
      </c>
      <c r="K235" s="7" t="s">
        <v>74</v>
      </c>
      <c r="L235" s="7">
        <v>6.027397260273973</v>
      </c>
      <c r="M235" s="7" t="s">
        <v>39</v>
      </c>
    </row>
    <row r="236" ht="14.25" customHeight="1">
      <c r="A236" s="7" t="s">
        <v>871</v>
      </c>
      <c r="B236" s="7" t="s">
        <v>872</v>
      </c>
      <c r="C236" s="7" t="s">
        <v>873</v>
      </c>
      <c r="D236" s="7" t="s">
        <v>30</v>
      </c>
      <c r="E236" s="7" t="s">
        <v>155</v>
      </c>
      <c r="F236" s="7">
        <v>103494.94</v>
      </c>
      <c r="G236" s="7" t="s">
        <v>32</v>
      </c>
      <c r="H236" s="9">
        <v>43256.0</v>
      </c>
      <c r="I236" s="7">
        <v>1.0</v>
      </c>
      <c r="J236" s="7" t="s">
        <v>35</v>
      </c>
      <c r="K236" s="7" t="s">
        <v>36</v>
      </c>
      <c r="L236" s="7">
        <v>6.049315068493151</v>
      </c>
      <c r="M236" s="7" t="s">
        <v>39</v>
      </c>
    </row>
    <row r="237" ht="14.25" customHeight="1">
      <c r="A237" s="7" t="s">
        <v>868</v>
      </c>
      <c r="B237" s="7" t="s">
        <v>892</v>
      </c>
      <c r="C237" s="7" t="s">
        <v>893</v>
      </c>
      <c r="D237" s="7" t="s">
        <v>30</v>
      </c>
      <c r="E237" s="7" t="s">
        <v>46</v>
      </c>
      <c r="F237" s="7">
        <v>106400.02</v>
      </c>
      <c r="G237" s="7" t="s">
        <v>32</v>
      </c>
      <c r="H237" s="9">
        <v>44021.0</v>
      </c>
      <c r="I237" s="7">
        <v>1.0</v>
      </c>
      <c r="J237" s="7" t="s">
        <v>156</v>
      </c>
      <c r="K237" s="7" t="s">
        <v>172</v>
      </c>
      <c r="L237" s="7">
        <v>3.9534246575342467</v>
      </c>
      <c r="M237" s="7" t="s">
        <v>39</v>
      </c>
    </row>
    <row r="238" ht="14.25" customHeight="1">
      <c r="A238" s="7" t="s">
        <v>894</v>
      </c>
      <c r="B238" s="7" t="s">
        <v>895</v>
      </c>
      <c r="C238" s="7" t="s">
        <v>896</v>
      </c>
      <c r="D238" s="7" t="s">
        <v>30</v>
      </c>
      <c r="E238" s="7" t="s">
        <v>155</v>
      </c>
      <c r="F238" s="7">
        <v>65569.36</v>
      </c>
      <c r="G238" s="7" t="s">
        <v>47</v>
      </c>
      <c r="H238" s="9">
        <v>43293.0</v>
      </c>
      <c r="I238" s="7">
        <v>1.0</v>
      </c>
      <c r="J238" s="7" t="s">
        <v>67</v>
      </c>
      <c r="K238" s="7" t="s">
        <v>158</v>
      </c>
      <c r="L238" s="7">
        <v>5.947945205479452</v>
      </c>
      <c r="M238" s="7" t="s">
        <v>39</v>
      </c>
    </row>
    <row r="239" ht="14.25" customHeight="1">
      <c r="A239" s="7" t="s">
        <v>611</v>
      </c>
      <c r="B239" s="7" t="s">
        <v>897</v>
      </c>
      <c r="C239" s="7" t="s">
        <v>898</v>
      </c>
      <c r="D239" s="7" t="s">
        <v>30</v>
      </c>
      <c r="E239" s="7" t="s">
        <v>254</v>
      </c>
      <c r="F239" s="7">
        <v>40445.29</v>
      </c>
      <c r="G239" s="7" t="s">
        <v>130</v>
      </c>
      <c r="H239" s="9">
        <v>44393.0</v>
      </c>
      <c r="I239" s="7">
        <v>1.0</v>
      </c>
      <c r="J239" s="7" t="s">
        <v>35</v>
      </c>
      <c r="K239" s="7" t="s">
        <v>172</v>
      </c>
      <c r="L239" s="7">
        <v>2.9342465753424656</v>
      </c>
      <c r="M239" s="7" t="s">
        <v>39</v>
      </c>
    </row>
    <row r="240" ht="14.25" customHeight="1">
      <c r="A240" s="7" t="s">
        <v>899</v>
      </c>
      <c r="B240" s="7" t="s">
        <v>900</v>
      </c>
      <c r="C240" s="7" t="s">
        <v>901</v>
      </c>
      <c r="D240" s="7" t="s">
        <v>45</v>
      </c>
      <c r="E240" s="7" t="s">
        <v>31</v>
      </c>
      <c r="F240" s="7">
        <v>114772.32</v>
      </c>
      <c r="G240" s="7" t="s">
        <v>32</v>
      </c>
      <c r="H240" s="9">
        <v>44251.0</v>
      </c>
      <c r="I240" s="7">
        <v>1.0</v>
      </c>
      <c r="J240" s="7" t="s">
        <v>35</v>
      </c>
      <c r="K240" s="7" t="s">
        <v>147</v>
      </c>
      <c r="L240" s="7">
        <v>3.3232876712328765</v>
      </c>
      <c r="M240" s="7" t="s">
        <v>39</v>
      </c>
    </row>
    <row r="241" ht="14.25" customHeight="1">
      <c r="A241" s="7" t="s">
        <v>902</v>
      </c>
      <c r="B241" s="7" t="s">
        <v>903</v>
      </c>
      <c r="C241" s="7" t="s">
        <v>904</v>
      </c>
      <c r="D241" s="7" t="s">
        <v>45</v>
      </c>
      <c r="E241" s="7" t="s">
        <v>65</v>
      </c>
      <c r="F241" s="7">
        <v>56253.81</v>
      </c>
      <c r="G241" s="7" t="s">
        <v>47</v>
      </c>
      <c r="H241" s="9">
        <v>44421.0</v>
      </c>
      <c r="I241" s="7">
        <v>1.0</v>
      </c>
      <c r="J241" s="7" t="s">
        <v>35</v>
      </c>
      <c r="K241" s="7" t="s">
        <v>158</v>
      </c>
      <c r="L241" s="7">
        <v>2.8575342465753426</v>
      </c>
      <c r="M241" s="7" t="s">
        <v>39</v>
      </c>
    </row>
    <row r="242" ht="14.25" customHeight="1">
      <c r="A242" s="7" t="s">
        <v>905</v>
      </c>
      <c r="B242" s="7" t="s">
        <v>906</v>
      </c>
      <c r="C242" s="7" t="s">
        <v>907</v>
      </c>
      <c r="D242" s="7" t="s">
        <v>45</v>
      </c>
      <c r="E242" s="7" t="s">
        <v>254</v>
      </c>
      <c r="F242" s="7">
        <v>51798.25</v>
      </c>
      <c r="G242" s="7" t="s">
        <v>47</v>
      </c>
      <c r="H242" s="9">
        <v>43665.0</v>
      </c>
      <c r="I242" s="7">
        <v>1.0</v>
      </c>
      <c r="J242" s="7" t="s">
        <v>35</v>
      </c>
      <c r="K242" s="7" t="s">
        <v>74</v>
      </c>
      <c r="L242" s="7">
        <v>4.928767123287671</v>
      </c>
      <c r="M242" s="7" t="s">
        <v>39</v>
      </c>
    </row>
    <row r="243" ht="14.25" customHeight="1">
      <c r="A243" s="7" t="s">
        <v>908</v>
      </c>
      <c r="B243" s="7" t="s">
        <v>909</v>
      </c>
      <c r="C243" s="7" t="s">
        <v>910</v>
      </c>
      <c r="D243" s="7" t="s">
        <v>30</v>
      </c>
      <c r="E243" s="7" t="s">
        <v>155</v>
      </c>
      <c r="F243" s="7">
        <v>28329.77</v>
      </c>
      <c r="G243" s="7" t="s">
        <v>130</v>
      </c>
      <c r="H243" s="9">
        <v>43402.0</v>
      </c>
      <c r="I243" s="7">
        <v>1.0</v>
      </c>
      <c r="J243" s="7" t="s">
        <v>35</v>
      </c>
      <c r="K243" s="7" t="s">
        <v>50</v>
      </c>
      <c r="L243" s="7">
        <v>5.64931506849315</v>
      </c>
      <c r="M243" s="7" t="s">
        <v>39</v>
      </c>
    </row>
    <row r="244" ht="14.25" customHeight="1">
      <c r="A244" s="7" t="s">
        <v>911</v>
      </c>
      <c r="B244" s="7" t="s">
        <v>912</v>
      </c>
      <c r="C244" s="7" t="s">
        <v>913</v>
      </c>
      <c r="D244" s="7" t="s">
        <v>45</v>
      </c>
      <c r="E244" s="7" t="s">
        <v>65</v>
      </c>
      <c r="F244" s="7">
        <v>93964.3</v>
      </c>
      <c r="G244" s="7" t="s">
        <v>47</v>
      </c>
      <c r="H244" s="9">
        <v>44454.0</v>
      </c>
      <c r="I244" s="7">
        <v>0.4</v>
      </c>
      <c r="J244" s="7" t="s">
        <v>67</v>
      </c>
      <c r="K244" s="7" t="s">
        <v>74</v>
      </c>
      <c r="L244" s="7">
        <v>2.767123287671233</v>
      </c>
      <c r="M244" s="7" t="s">
        <v>51</v>
      </c>
    </row>
    <row r="245" ht="14.25" customHeight="1">
      <c r="A245" s="7" t="s">
        <v>914</v>
      </c>
      <c r="B245" s="7" t="s">
        <v>269</v>
      </c>
      <c r="C245" s="7" t="s">
        <v>270</v>
      </c>
      <c r="D245" s="7" t="s">
        <v>30</v>
      </c>
      <c r="E245" s="7" t="s">
        <v>46</v>
      </c>
      <c r="F245" s="7">
        <v>90884.32</v>
      </c>
      <c r="G245" s="7" t="s">
        <v>47</v>
      </c>
      <c r="H245" s="9">
        <v>44039.0</v>
      </c>
      <c r="I245" s="7">
        <v>0.5</v>
      </c>
      <c r="J245" s="7" t="s">
        <v>35</v>
      </c>
      <c r="K245" s="7" t="s">
        <v>147</v>
      </c>
      <c r="L245" s="7">
        <v>3.904109589041096</v>
      </c>
      <c r="M245" s="7" t="s">
        <v>51</v>
      </c>
    </row>
    <row r="246" ht="14.25" customHeight="1">
      <c r="A246" s="7" t="s">
        <v>915</v>
      </c>
      <c r="B246" s="7" t="s">
        <v>916</v>
      </c>
      <c r="C246" s="7" t="s">
        <v>917</v>
      </c>
      <c r="D246" s="7" t="s">
        <v>30</v>
      </c>
      <c r="E246" s="7" t="s">
        <v>57</v>
      </c>
      <c r="F246" s="7">
        <v>84742.86</v>
      </c>
      <c r="G246" s="7" t="s">
        <v>47</v>
      </c>
      <c r="H246" s="9">
        <v>44098.0</v>
      </c>
      <c r="I246" s="7">
        <v>1.0</v>
      </c>
      <c r="J246" s="7" t="s">
        <v>35</v>
      </c>
      <c r="K246" s="7" t="s">
        <v>158</v>
      </c>
      <c r="L246" s="7">
        <v>3.7424657534246575</v>
      </c>
      <c r="M246" s="7" t="s">
        <v>39</v>
      </c>
    </row>
    <row r="247" ht="14.25" customHeight="1">
      <c r="A247" s="7" t="s">
        <v>918</v>
      </c>
      <c r="B247" s="7" t="s">
        <v>919</v>
      </c>
      <c r="C247" s="7" t="s">
        <v>920</v>
      </c>
      <c r="D247" s="7" t="s">
        <v>30</v>
      </c>
      <c r="E247" s="7" t="s">
        <v>212</v>
      </c>
      <c r="F247" s="7">
        <v>80772.92</v>
      </c>
      <c r="G247" s="7" t="s">
        <v>47</v>
      </c>
      <c r="H247" s="9">
        <v>44137.0</v>
      </c>
      <c r="I247" s="7">
        <v>1.0</v>
      </c>
      <c r="J247" s="7" t="s">
        <v>156</v>
      </c>
      <c r="K247" s="7" t="s">
        <v>36</v>
      </c>
      <c r="L247" s="7">
        <v>3.6356164383561644</v>
      </c>
      <c r="M247" s="7" t="s">
        <v>39</v>
      </c>
    </row>
    <row r="248" ht="14.25" customHeight="1">
      <c r="A248" s="7" t="s">
        <v>921</v>
      </c>
      <c r="B248" s="7" t="s">
        <v>922</v>
      </c>
      <c r="C248" s="7" t="s">
        <v>923</v>
      </c>
      <c r="D248" s="7" t="s">
        <v>45</v>
      </c>
      <c r="E248" s="7" t="s">
        <v>155</v>
      </c>
      <c r="F248" s="7">
        <v>85264.38</v>
      </c>
      <c r="G248" s="7" t="s">
        <v>47</v>
      </c>
      <c r="H248" s="9">
        <v>43220.0</v>
      </c>
      <c r="I248" s="7">
        <v>1.0</v>
      </c>
      <c r="J248" s="7" t="s">
        <v>35</v>
      </c>
      <c r="K248" s="7" t="s">
        <v>172</v>
      </c>
      <c r="L248" s="7">
        <v>6.147945205479452</v>
      </c>
      <c r="M248" s="7" t="s">
        <v>39</v>
      </c>
    </row>
    <row r="249" ht="14.25" customHeight="1">
      <c r="A249" s="7" t="s">
        <v>422</v>
      </c>
      <c r="B249" s="7" t="s">
        <v>423</v>
      </c>
      <c r="C249" s="7" t="s">
        <v>424</v>
      </c>
      <c r="D249" s="7" t="s">
        <v>30</v>
      </c>
      <c r="E249" s="7" t="s">
        <v>266</v>
      </c>
      <c r="F249" s="7">
        <v>113747.56</v>
      </c>
      <c r="G249" s="7" t="s">
        <v>32</v>
      </c>
      <c r="H249" s="9">
        <v>44270.0</v>
      </c>
      <c r="I249" s="7">
        <v>0.7</v>
      </c>
      <c r="J249" s="7" t="s">
        <v>156</v>
      </c>
      <c r="K249" s="7" t="s">
        <v>147</v>
      </c>
      <c r="L249" s="7">
        <v>3.271232876712329</v>
      </c>
      <c r="M249" s="7" t="s">
        <v>51</v>
      </c>
    </row>
    <row r="250" ht="14.25" customHeight="1">
      <c r="A250" s="7" t="s">
        <v>924</v>
      </c>
      <c r="B250" s="7" t="s">
        <v>925</v>
      </c>
      <c r="C250" s="7" t="s">
        <v>926</v>
      </c>
      <c r="D250" s="7" t="s">
        <v>45</v>
      </c>
      <c r="E250" s="7" t="s">
        <v>31</v>
      </c>
      <c r="F250" s="7">
        <v>78378.2</v>
      </c>
      <c r="G250" s="7" t="s">
        <v>47</v>
      </c>
      <c r="H250" s="9">
        <v>43465.0</v>
      </c>
      <c r="I250" s="7">
        <v>0.4</v>
      </c>
      <c r="J250" s="7" t="s">
        <v>35</v>
      </c>
      <c r="K250" s="7" t="s">
        <v>36</v>
      </c>
      <c r="L250" s="7">
        <v>5.476712328767123</v>
      </c>
      <c r="M250" s="7" t="s">
        <v>51</v>
      </c>
    </row>
    <row r="251" ht="14.25" customHeight="1">
      <c r="A251" s="7" t="s">
        <v>927</v>
      </c>
      <c r="B251" s="7" t="s">
        <v>928</v>
      </c>
      <c r="C251" s="7" t="s">
        <v>929</v>
      </c>
      <c r="D251" s="7" t="s">
        <v>30</v>
      </c>
      <c r="E251" s="7" t="s">
        <v>212</v>
      </c>
      <c r="F251" s="7">
        <v>91314.75</v>
      </c>
      <c r="G251" s="7" t="s">
        <v>47</v>
      </c>
      <c r="H251" s="9">
        <v>43931.0</v>
      </c>
      <c r="I251" s="7">
        <v>1.0</v>
      </c>
      <c r="J251" s="7" t="s">
        <v>67</v>
      </c>
      <c r="K251" s="7" t="s">
        <v>50</v>
      </c>
      <c r="L251" s="7">
        <v>4.2</v>
      </c>
      <c r="M251" s="7" t="s">
        <v>39</v>
      </c>
    </row>
    <row r="252" ht="14.25" customHeight="1">
      <c r="A252" s="7" t="s">
        <v>502</v>
      </c>
      <c r="B252" s="7" t="s">
        <v>930</v>
      </c>
      <c r="C252" s="7" t="s">
        <v>931</v>
      </c>
      <c r="D252" s="7" t="s">
        <v>30</v>
      </c>
      <c r="E252" s="7" t="s">
        <v>266</v>
      </c>
      <c r="F252" s="7">
        <v>66572.58</v>
      </c>
      <c r="G252" s="7" t="s">
        <v>47</v>
      </c>
      <c r="H252" s="9">
        <v>44193.0</v>
      </c>
      <c r="I252" s="7">
        <v>1.0</v>
      </c>
      <c r="J252" s="7" t="s">
        <v>35</v>
      </c>
      <c r="K252" s="7" t="s">
        <v>172</v>
      </c>
      <c r="L252" s="7">
        <v>3.4821917808219176</v>
      </c>
      <c r="M252" s="7" t="s">
        <v>39</v>
      </c>
    </row>
    <row r="253" ht="14.25" customHeight="1">
      <c r="A253" s="7" t="s">
        <v>932</v>
      </c>
      <c r="B253" s="7" t="s">
        <v>933</v>
      </c>
      <c r="C253" s="7" t="s">
        <v>934</v>
      </c>
      <c r="D253" s="7" t="s">
        <v>30</v>
      </c>
      <c r="E253" s="7" t="s">
        <v>91</v>
      </c>
      <c r="F253" s="7">
        <v>30077.45</v>
      </c>
      <c r="G253" s="7" t="s">
        <v>130</v>
      </c>
      <c r="H253" s="9">
        <v>43474.0</v>
      </c>
      <c r="I253" s="7">
        <v>1.0</v>
      </c>
      <c r="J253" s="7" t="s">
        <v>35</v>
      </c>
      <c r="K253" s="7" t="s">
        <v>84</v>
      </c>
      <c r="L253" s="7">
        <v>5.4520547945205475</v>
      </c>
      <c r="M253" s="7" t="s">
        <v>39</v>
      </c>
    </row>
    <row r="254" ht="14.25" customHeight="1">
      <c r="A254" s="7" t="s">
        <v>935</v>
      </c>
      <c r="B254" s="7" t="s">
        <v>936</v>
      </c>
      <c r="C254" s="7" t="s">
        <v>937</v>
      </c>
      <c r="D254" s="7" t="s">
        <v>90</v>
      </c>
      <c r="E254" s="7" t="s">
        <v>109</v>
      </c>
      <c r="F254" s="7">
        <v>98012.63</v>
      </c>
      <c r="G254" s="7" t="s">
        <v>47</v>
      </c>
      <c r="H254" s="9">
        <v>43780.0</v>
      </c>
      <c r="I254" s="7">
        <v>1.0</v>
      </c>
      <c r="J254" s="7" t="s">
        <v>35</v>
      </c>
      <c r="K254" s="7" t="s">
        <v>36</v>
      </c>
      <c r="L254" s="7">
        <v>4.6136986301369864</v>
      </c>
      <c r="M254" s="7" t="s">
        <v>39</v>
      </c>
    </row>
    <row r="255" ht="14.25" customHeight="1">
      <c r="A255" s="7" t="s">
        <v>938</v>
      </c>
      <c r="B255" s="7" t="s">
        <v>399</v>
      </c>
      <c r="C255" s="7" t="s">
        <v>400</v>
      </c>
      <c r="D255" s="7" t="s">
        <v>30</v>
      </c>
      <c r="E255" s="7" t="s">
        <v>155</v>
      </c>
      <c r="F255" s="7">
        <v>72876.91</v>
      </c>
      <c r="G255" s="7" t="s">
        <v>47</v>
      </c>
      <c r="H255" s="9">
        <v>43837.0</v>
      </c>
      <c r="I255" s="7">
        <v>1.0</v>
      </c>
      <c r="J255" s="7" t="s">
        <v>35</v>
      </c>
      <c r="K255" s="7" t="s">
        <v>36</v>
      </c>
      <c r="L255" s="7">
        <v>4.457534246575342</v>
      </c>
      <c r="M255" s="7" t="s">
        <v>39</v>
      </c>
    </row>
    <row r="256" ht="14.25" customHeight="1">
      <c r="A256" s="7" t="s">
        <v>939</v>
      </c>
      <c r="B256" s="7" t="s">
        <v>940</v>
      </c>
      <c r="C256" s="7" t="s">
        <v>941</v>
      </c>
      <c r="D256" s="7" t="s">
        <v>30</v>
      </c>
      <c r="E256" s="7" t="s">
        <v>31</v>
      </c>
      <c r="F256" s="7">
        <v>92943.89</v>
      </c>
      <c r="G256" s="7" t="s">
        <v>47</v>
      </c>
      <c r="H256" s="9">
        <v>44510.0</v>
      </c>
      <c r="I256" s="7">
        <v>1.0</v>
      </c>
      <c r="J256" s="7" t="s">
        <v>35</v>
      </c>
      <c r="K256" s="7" t="s">
        <v>74</v>
      </c>
      <c r="L256" s="7">
        <v>2.6136986301369864</v>
      </c>
      <c r="M256" s="7" t="s">
        <v>39</v>
      </c>
    </row>
    <row r="257" ht="14.25" customHeight="1">
      <c r="A257" s="7" t="s">
        <v>942</v>
      </c>
      <c r="B257" s="7" t="s">
        <v>943</v>
      </c>
      <c r="C257" s="7" t="s">
        <v>944</v>
      </c>
      <c r="D257" s="7" t="s">
        <v>45</v>
      </c>
      <c r="E257" s="7" t="s">
        <v>155</v>
      </c>
      <c r="F257" s="7">
        <v>29808.07</v>
      </c>
      <c r="G257" s="7" t="s">
        <v>130</v>
      </c>
      <c r="H257" s="9">
        <v>43291.0</v>
      </c>
      <c r="I257" s="7">
        <v>0.3</v>
      </c>
      <c r="J257" s="7" t="s">
        <v>156</v>
      </c>
      <c r="K257" s="7" t="s">
        <v>74</v>
      </c>
      <c r="L257" s="7">
        <v>5.953424657534247</v>
      </c>
      <c r="M257" s="7" t="s">
        <v>51</v>
      </c>
    </row>
    <row r="258" ht="14.25" customHeight="1">
      <c r="A258" s="7" t="s">
        <v>945</v>
      </c>
      <c r="B258" s="7" t="s">
        <v>946</v>
      </c>
      <c r="C258" s="7" t="s">
        <v>947</v>
      </c>
      <c r="D258" s="7" t="s">
        <v>45</v>
      </c>
      <c r="E258" s="7" t="s">
        <v>212</v>
      </c>
      <c r="F258" s="7">
        <v>47551.89</v>
      </c>
      <c r="G258" s="7" t="s">
        <v>130</v>
      </c>
      <c r="H258" s="9">
        <v>43468.0</v>
      </c>
      <c r="I258" s="7">
        <v>1.0</v>
      </c>
      <c r="J258" s="7" t="s">
        <v>35</v>
      </c>
      <c r="K258" s="7" t="s">
        <v>158</v>
      </c>
      <c r="L258" s="7">
        <v>5.468493150684932</v>
      </c>
      <c r="M258" s="7" t="s">
        <v>39</v>
      </c>
    </row>
    <row r="259" ht="14.25" customHeight="1">
      <c r="A259" s="7" t="s">
        <v>386</v>
      </c>
      <c r="B259" s="7" t="s">
        <v>809</v>
      </c>
      <c r="C259" s="7" t="s">
        <v>948</v>
      </c>
      <c r="D259" s="7" t="s">
        <v>45</v>
      </c>
      <c r="E259" s="7" t="s">
        <v>115</v>
      </c>
      <c r="F259" s="7">
        <v>39700.82</v>
      </c>
      <c r="G259" s="7" t="s">
        <v>130</v>
      </c>
      <c r="H259" s="9">
        <v>44203.0</v>
      </c>
      <c r="I259" s="7">
        <v>0.8</v>
      </c>
      <c r="J259" s="7" t="s">
        <v>35</v>
      </c>
      <c r="K259" s="7" t="s">
        <v>172</v>
      </c>
      <c r="L259" s="7">
        <v>3.4547945205479453</v>
      </c>
      <c r="M259" s="7" t="s">
        <v>51</v>
      </c>
    </row>
    <row r="260" ht="14.25" customHeight="1">
      <c r="A260" s="7" t="s">
        <v>949</v>
      </c>
      <c r="B260" s="7" t="s">
        <v>950</v>
      </c>
      <c r="C260" s="7" t="s">
        <v>951</v>
      </c>
      <c r="D260" s="7" t="s">
        <v>45</v>
      </c>
      <c r="E260" s="7" t="s">
        <v>266</v>
      </c>
      <c r="F260" s="7">
        <v>31089.22</v>
      </c>
      <c r="G260" s="7" t="s">
        <v>130</v>
      </c>
      <c r="H260" s="9">
        <v>43776.0</v>
      </c>
      <c r="I260" s="7">
        <v>1.0</v>
      </c>
      <c r="J260" s="7" t="s">
        <v>67</v>
      </c>
      <c r="K260" s="7" t="s">
        <v>172</v>
      </c>
      <c r="L260" s="7">
        <v>4.624657534246575</v>
      </c>
      <c r="M260" s="7" t="s">
        <v>39</v>
      </c>
    </row>
    <row r="261" ht="14.25" customHeight="1">
      <c r="A261" s="7" t="s">
        <v>952</v>
      </c>
      <c r="B261" s="7" t="s">
        <v>953</v>
      </c>
      <c r="C261" s="7" t="s">
        <v>954</v>
      </c>
      <c r="D261" s="7" t="s">
        <v>45</v>
      </c>
      <c r="E261" s="7" t="s">
        <v>212</v>
      </c>
      <c r="F261" s="7">
        <v>78020.39</v>
      </c>
      <c r="G261" s="7" t="s">
        <v>47</v>
      </c>
      <c r="H261" s="9">
        <v>43899.0</v>
      </c>
      <c r="I261" s="7">
        <v>1.0</v>
      </c>
      <c r="J261" s="7" t="s">
        <v>35</v>
      </c>
      <c r="K261" s="7" t="s">
        <v>36</v>
      </c>
      <c r="L261" s="7">
        <v>4.287671232876712</v>
      </c>
      <c r="M261" s="7" t="s">
        <v>39</v>
      </c>
    </row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ustomSheetViews>
    <customSheetView guid="{45D7F98A-2536-462D-AEFE-0C5074F66079}" filter="1" showAutoFilter="1">
      <autoFilter ref="$A$1:$M$261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7.29"/>
    <col customWidth="1" min="2" max="2" width="23.57"/>
    <col customWidth="1" min="3" max="3" width="17.14"/>
    <col customWidth="1" min="4" max="4" width="28.29"/>
    <col customWidth="1" min="5" max="5" width="17.86"/>
    <col customWidth="1" min="6" max="6" width="26.14"/>
    <col customWidth="1" min="7" max="7" width="12.57"/>
    <col customWidth="1" min="8" max="8" width="12.86"/>
    <col customWidth="1" min="9" max="11" width="8.71"/>
    <col customWidth="1" min="12" max="12" width="54.57"/>
    <col customWidth="1" min="13" max="14" width="8.71"/>
    <col customWidth="1" hidden="1" min="15" max="15" width="8.71"/>
    <col customWidth="1" min="16" max="19" width="8.71"/>
    <col customWidth="1" min="20" max="20" width="58.86"/>
    <col customWidth="1" min="21" max="38" width="8.71"/>
  </cols>
  <sheetData>
    <row r="1" ht="14.25" customHeight="1">
      <c r="B1" s="10" t="s">
        <v>94</v>
      </c>
      <c r="C1" s="11"/>
      <c r="D1" s="11"/>
      <c r="E1" s="11"/>
      <c r="F1" s="11"/>
    </row>
    <row r="2" ht="14.25" customHeight="1"/>
    <row r="3" ht="14.25" customHeight="1">
      <c r="B3" s="12" t="s">
        <v>14</v>
      </c>
      <c r="C3" s="12" t="s">
        <v>101</v>
      </c>
      <c r="D3" s="12" t="s">
        <v>104</v>
      </c>
      <c r="E3" s="12" t="s">
        <v>105</v>
      </c>
      <c r="F3" s="12" t="s">
        <v>106</v>
      </c>
    </row>
    <row r="4" ht="14.25" customHeight="1">
      <c r="B4" s="7" t="s">
        <v>109</v>
      </c>
      <c r="C4" s="7">
        <f t="array" ref="C4">COUNTIFS(Staff[Department],B4:B15)</f>
        <v>26</v>
      </c>
      <c r="D4" s="13">
        <f>SUMIFS(Staff[Salary], Staff[Department],B4:B15)</f>
        <v>1814980.59</v>
      </c>
      <c r="E4" s="13">
        <f>AVERAGEIFS(Staff[Salary],Staff[Department],B4:B15)</f>
        <v>69806.94577</v>
      </c>
      <c r="F4" s="7">
        <f t="array" ref="F4">COUNTIFS(Staff[Department],B4:B15,Staff[Employee type],"Permanent")</f>
        <v>18</v>
      </c>
    </row>
    <row r="5" ht="14.25" customHeight="1">
      <c r="B5" s="7" t="s">
        <v>155</v>
      </c>
      <c r="C5" s="7">
        <f t="array" ref="C5">COUNTIFS(Staff[Department],B5:B16)</f>
        <v>22</v>
      </c>
      <c r="D5" s="13">
        <f>SUMIFS(Staff[Salary], Staff[Department],B5:B16)</f>
        <v>1608406.31</v>
      </c>
      <c r="E5" s="13">
        <f>AVERAGEIFS(Staff[Salary],Staff[Department],B5:B16)</f>
        <v>73109.37773</v>
      </c>
      <c r="F5" s="7">
        <f t="array" ref="F5">COUNTIFS(Staff[Department],B5:B16,Staff[Employee type],"Permanent")</f>
        <v>13</v>
      </c>
    </row>
    <row r="6" ht="14.25" customHeight="1">
      <c r="B6" s="7" t="s">
        <v>65</v>
      </c>
      <c r="C6" s="7">
        <f t="array" ref="C6">COUNTIFS(Staff[Department],B6:B17)</f>
        <v>24</v>
      </c>
      <c r="D6" s="13">
        <f>SUMIFS(Staff[Salary], Staff[Department],B6:B17)</f>
        <v>2013215.16</v>
      </c>
      <c r="E6" s="13">
        <f>AVERAGEIFS(Staff[Salary],Staff[Department],B6:B17)</f>
        <v>83883.965</v>
      </c>
      <c r="F6" s="7">
        <f t="array" ref="F6">COUNTIFS(Staff[Department],B6:B17,Staff[Employee type],"Permanent")</f>
        <v>11</v>
      </c>
    </row>
    <row r="7" ht="14.25" customHeight="1">
      <c r="B7" s="7" t="s">
        <v>31</v>
      </c>
      <c r="C7" s="7">
        <f t="array" ref="C7">COUNTIFS(Staff[Department],B7:B18)</f>
        <v>26</v>
      </c>
      <c r="D7" s="13">
        <f>SUMIFS(Staff[Salary], Staff[Department],B7:B18)</f>
        <v>2131387.49</v>
      </c>
      <c r="E7" s="13">
        <f>AVERAGEIFS(Staff[Salary],Staff[Department],B7:B18)</f>
        <v>81976.44192</v>
      </c>
      <c r="F7" s="7">
        <f t="array" ref="F7">COUNTIFS(Staff[Department],B7:B18,Staff[Employee type],"Permanent")</f>
        <v>16</v>
      </c>
    </row>
    <row r="8" ht="14.25" customHeight="1">
      <c r="B8" s="7" t="s">
        <v>103</v>
      </c>
      <c r="C8" s="7">
        <f t="array" ref="C8">COUNTIFS(Staff[Department],B8:B18)</f>
        <v>12</v>
      </c>
      <c r="D8" s="13">
        <f>SUMIFS(Staff[Salary], Staff[Department],B8:B18)</f>
        <v>773295.6</v>
      </c>
      <c r="E8" s="13">
        <f>AVERAGEIFS(Staff[Salary],Staff[Department],B8:B18)</f>
        <v>64441.3</v>
      </c>
      <c r="F8" s="7">
        <f t="array" ref="F8">COUNTIFS(Staff[Department],B8:B18,Staff[Employee type],"Permanent")</f>
        <v>9</v>
      </c>
    </row>
    <row r="9" ht="14.25" customHeight="1">
      <c r="B9" s="7" t="s">
        <v>57</v>
      </c>
      <c r="C9" s="7">
        <f t="array" ref="C9">COUNTIFS(Staff[Department],B9:B18)</f>
        <v>21</v>
      </c>
      <c r="D9" s="13">
        <f>SUMIFS(Staff[Salary], Staff[Department],B9:B18)</f>
        <v>1568153.47</v>
      </c>
      <c r="E9" s="13">
        <f>AVERAGEIFS(Staff[Salary],Staff[Department],B9:B18)</f>
        <v>74673.97476</v>
      </c>
      <c r="F9" s="7">
        <f t="array" ref="F9">COUNTIFS(Staff[Department],B9:B18,Staff[Employee type],"Permanent")</f>
        <v>16</v>
      </c>
    </row>
    <row r="10" ht="14.25" customHeight="1">
      <c r="B10" s="7" t="s">
        <v>91</v>
      </c>
      <c r="C10" s="7">
        <f t="array" ref="C10">COUNTIFS(Staff[Department],B10:B18)</f>
        <v>17</v>
      </c>
      <c r="D10" s="13">
        <f>SUMIFS(Staff[Salary], Staff[Department],B10:B18)</f>
        <v>1129351.75</v>
      </c>
      <c r="E10" s="13">
        <f>AVERAGEIFS(Staff[Salary],Staff[Department],B10:B18)</f>
        <v>66432.45588</v>
      </c>
      <c r="F10" s="7">
        <f t="array" ref="F10">COUNTIFS(Staff[Department],B10:B18,Staff[Employee type],"Permanent")</f>
        <v>11</v>
      </c>
    </row>
    <row r="11" ht="14.25" customHeight="1">
      <c r="B11" s="7" t="s">
        <v>115</v>
      </c>
      <c r="C11" s="7">
        <f t="array" ref="C11">COUNTIFS(Staff[Department],B11:B18)</f>
        <v>18</v>
      </c>
      <c r="D11" s="13">
        <f>SUMIFS(Staff[Salary], Staff[Department],B11:B18)</f>
        <v>1204393.78</v>
      </c>
      <c r="E11" s="13">
        <f>AVERAGEIFS(Staff[Salary],Staff[Department],B11:B18)</f>
        <v>66910.76556</v>
      </c>
      <c r="F11" s="7">
        <f t="array" ref="F11">COUNTIFS(Staff[Department],B11:B18,Staff[Employee type],"Permanent")</f>
        <v>11</v>
      </c>
    </row>
    <row r="12" ht="14.25" customHeight="1">
      <c r="B12" s="7" t="s">
        <v>46</v>
      </c>
      <c r="C12" s="7">
        <f t="array" ref="C12">COUNTIFS(Staff[Department],B12:B18)</f>
        <v>26</v>
      </c>
      <c r="D12" s="13">
        <f>SUMIFS(Staff[Salary], Staff[Department],B12:B18)</f>
        <v>2074326.95</v>
      </c>
      <c r="E12" s="13">
        <f>AVERAGEIFS(Staff[Salary],Staff[Department],B12:B18)</f>
        <v>79781.80577</v>
      </c>
      <c r="F12" s="7">
        <f t="array" ref="F12">COUNTIFS(Staff[Department],B12:B18,Staff[Employee type],"Permanent")</f>
        <v>18</v>
      </c>
    </row>
    <row r="13" ht="14.25" customHeight="1">
      <c r="B13" s="7" t="s">
        <v>212</v>
      </c>
      <c r="C13" s="7">
        <f t="array" ref="C13">COUNTIFS(Staff[Department],B13:B18)</f>
        <v>18</v>
      </c>
      <c r="D13" s="13">
        <f>SUMIFS(Staff[Salary], Staff[Department],B13:B18)</f>
        <v>1294147.72</v>
      </c>
      <c r="E13" s="13">
        <f>AVERAGEIFS(Staff[Salary],Staff[Department],B13:B18)</f>
        <v>71897.09556</v>
      </c>
      <c r="F13" s="7">
        <f t="array" ref="F13">COUNTIFS(Staff[Department],B13:B18,Staff[Employee type],"Permanent")</f>
        <v>13</v>
      </c>
    </row>
    <row r="14" ht="14.25" customHeight="1">
      <c r="B14" s="7" t="s">
        <v>254</v>
      </c>
      <c r="C14" s="7">
        <f t="array" ref="C14">COUNTIFS(Staff[Department],B14:B19)</f>
        <v>29</v>
      </c>
      <c r="D14" s="13">
        <f>SUMIFS(Staff[Salary], Staff[Department],B14:B19)</f>
        <v>2180192.87</v>
      </c>
      <c r="E14" s="13">
        <f>AVERAGEIFS(Staff[Salary],Staff[Department],B14:B19)</f>
        <v>75179.06448</v>
      </c>
      <c r="F14" s="7">
        <f t="array" ref="F14">COUNTIFS(Staff[Department],B14:B19,Staff[Employee type],"Permanent")</f>
        <v>19</v>
      </c>
    </row>
    <row r="15" ht="14.25" customHeight="1">
      <c r="B15" s="7" t="s">
        <v>266</v>
      </c>
      <c r="C15" s="7">
        <f t="array" ref="C15">COUNTIFS(Staff[Department],B15:B20)</f>
        <v>21</v>
      </c>
      <c r="D15" s="13">
        <f>SUMIFS(Staff[Salary], Staff[Department],B15:B20)</f>
        <v>1412092.87</v>
      </c>
      <c r="E15" s="13">
        <f>AVERAGEIFS(Staff[Salary],Staff[Department],B15:B20)</f>
        <v>67242.51762</v>
      </c>
      <c r="F15" s="7">
        <f t="array" ref="F15">COUNTIFS(Staff[Department],B15:B20,Staff[Employee type],"Permanent")</f>
        <v>13</v>
      </c>
    </row>
    <row r="16" ht="14.25" customHeight="1"/>
    <row r="17" ht="14.25" customHeight="1"/>
    <row r="18" ht="14.25" customHeight="1"/>
    <row r="19" ht="14.25" customHeight="1"/>
    <row r="20" ht="14.25" customHeight="1">
      <c r="B20" s="14" t="s">
        <v>379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</row>
    <row r="21" ht="14.25" customHeight="1"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</row>
    <row r="22" ht="14.25" customHeight="1">
      <c r="B22" s="16" t="str">
        <f t="array" ref="B22:N22">Staff[#HEADERS]</f>
        <v>Emp ID</v>
      </c>
      <c r="C22" s="16" t="s">
        <v>8</v>
      </c>
      <c r="D22" s="16" t="s">
        <v>10</v>
      </c>
      <c r="E22" s="16" t="s">
        <v>12</v>
      </c>
      <c r="F22" s="16" t="s">
        <v>14</v>
      </c>
      <c r="G22" s="16" t="s">
        <v>16</v>
      </c>
      <c r="H22" s="16" t="s">
        <v>17</v>
      </c>
      <c r="I22" s="16" t="s">
        <v>19</v>
      </c>
      <c r="J22" s="16" t="s">
        <v>20</v>
      </c>
      <c r="K22" s="16" t="s">
        <v>22</v>
      </c>
      <c r="L22" s="16" t="s">
        <v>23</v>
      </c>
      <c r="M22" s="16" t="s">
        <v>25</v>
      </c>
      <c r="N22" s="16" t="s">
        <v>26</v>
      </c>
    </row>
    <row r="23" ht="14.25" customHeight="1">
      <c r="B23" s="17" t="str">
        <f>IFERROR(__xludf.DUMMYFUNCTION("FILTER(Staff, Staff[Salary]&gt;100000)"),"PR00147")</f>
        <v>PR00147</v>
      </c>
      <c r="C23" s="17" t="str">
        <f>IFERROR(__xludf.DUMMYFUNCTION("""COMPUTED_VALUE"""),"Minerva")</f>
        <v>Minerva</v>
      </c>
      <c r="D23" s="17" t="str">
        <f>IFERROR(__xludf.DUMMYFUNCTION("""COMPUTED_VALUE"""),"Ricardot")</f>
        <v>Ricardot</v>
      </c>
      <c r="E23" s="17" t="str">
        <f>IFERROR(__xludf.DUMMYFUNCTION("""COMPUTED_VALUE"""),"Male")</f>
        <v>Male</v>
      </c>
      <c r="F23" s="17" t="str">
        <f>IFERROR(__xludf.DUMMYFUNCTION("""COMPUTED_VALUE"""),"Engineering")</f>
        <v>Engineering</v>
      </c>
      <c r="G23" s="18">
        <f>IFERROR(__xludf.DUMMYFUNCTION("""COMPUTED_VALUE"""),120000.0)</f>
        <v>120000</v>
      </c>
      <c r="H23" s="17" t="str">
        <f>IFERROR(__xludf.DUMMYFUNCTION("""COMPUTED_VALUE"""),"Above 100k")</f>
        <v>Above 100k</v>
      </c>
      <c r="I23" s="19">
        <f>IFERROR(__xludf.DUMMYFUNCTION("""COMPUTED_VALUE"""),43416.0)</f>
        <v>43416</v>
      </c>
      <c r="J23" s="17">
        <f>IFERROR(__xludf.DUMMYFUNCTION("""COMPUTED_VALUE"""),1.0)</f>
        <v>1</v>
      </c>
      <c r="K23" s="17" t="str">
        <f>IFERROR(__xludf.DUMMYFUNCTION("""COMPUTED_VALUE"""),"Permanent")</f>
        <v>Permanent</v>
      </c>
      <c r="L23" s="17" t="str">
        <f>IFERROR(__xludf.DUMMYFUNCTION("""COMPUTED_VALUE"""),"Remote")</f>
        <v>Remote</v>
      </c>
      <c r="M23" s="17">
        <f>IFERROR(__xludf.DUMMYFUNCTION("""COMPUTED_VALUE"""),5.610958904109589)</f>
        <v>5.610958904</v>
      </c>
      <c r="N23" s="17" t="str">
        <f>IFERROR(__xludf.DUMMYFUNCTION("""COMPUTED_VALUE"""),"Full time")</f>
        <v>Full time</v>
      </c>
    </row>
    <row r="24" ht="14.25" customHeight="1">
      <c r="B24" s="17" t="str">
        <f>IFERROR(__xludf.DUMMYFUNCTION("""COMPUTED_VALUE"""),"SQ04612")</f>
        <v>SQ04612</v>
      </c>
      <c r="C24" s="17" t="str">
        <f>IFERROR(__xludf.DUMMYFUNCTION("""COMPUTED_VALUE"""),"Mick")</f>
        <v>Mick</v>
      </c>
      <c r="D24" s="17" t="str">
        <f>IFERROR(__xludf.DUMMYFUNCTION("""COMPUTED_VALUE"""),"Spraberry")</f>
        <v>Spraberry</v>
      </c>
      <c r="E24" s="17" t="str">
        <f>IFERROR(__xludf.DUMMYFUNCTION("""COMPUTED_VALUE"""),"Female")</f>
        <v>Female</v>
      </c>
      <c r="F24" s="17" t="str">
        <f>IFERROR(__xludf.DUMMYFUNCTION("""COMPUTED_VALUE"""),"Services")</f>
        <v>Services</v>
      </c>
      <c r="G24" s="18">
        <f>IFERROR(__xludf.DUMMYFUNCTION("""COMPUTED_VALUE"""),120000.0)</f>
        <v>120000</v>
      </c>
      <c r="H24" s="17" t="str">
        <f>IFERROR(__xludf.DUMMYFUNCTION("""COMPUTED_VALUE"""),"Above 100k")</f>
        <v>Above 100k</v>
      </c>
      <c r="I24" s="19">
        <f>IFERROR(__xludf.DUMMYFUNCTION("""COMPUTED_VALUE"""),43902.0)</f>
        <v>43902</v>
      </c>
      <c r="J24" s="17">
        <f>IFERROR(__xludf.DUMMYFUNCTION("""COMPUTED_VALUE"""),0.9)</f>
        <v>0.9</v>
      </c>
      <c r="K24" s="17" t="str">
        <f>IFERROR(__xludf.DUMMYFUNCTION("""COMPUTED_VALUE"""),"Permanent")</f>
        <v>Permanent</v>
      </c>
      <c r="L24" s="17" t="str">
        <f>IFERROR(__xludf.DUMMYFUNCTION("""COMPUTED_VALUE"""),"Remote")</f>
        <v>Remote</v>
      </c>
      <c r="M24" s="17">
        <f>IFERROR(__xludf.DUMMYFUNCTION("""COMPUTED_VALUE"""),4.279452054794521)</f>
        <v>4.279452055</v>
      </c>
      <c r="N24" s="17" t="str">
        <f>IFERROR(__xludf.DUMMYFUNCTION("""COMPUTED_VALUE"""),"Part time")</f>
        <v>Part time</v>
      </c>
    </row>
    <row r="25" ht="14.25" customHeight="1">
      <c r="B25" s="17" t="str">
        <f>IFERROR(__xludf.DUMMYFUNCTION("""COMPUTED_VALUE"""),"SQ00144")</f>
        <v>SQ00144</v>
      </c>
      <c r="C25" s="17" t="str">
        <f>IFERROR(__xludf.DUMMYFUNCTION("""COMPUTED_VALUE"""),"Collen")</f>
        <v>Collen</v>
      </c>
      <c r="D25" s="17" t="str">
        <f>IFERROR(__xludf.DUMMYFUNCTION("""COMPUTED_VALUE"""),"Dunbleton")</f>
        <v>Dunbleton</v>
      </c>
      <c r="E25" s="17" t="str">
        <f>IFERROR(__xludf.DUMMYFUNCTION("""COMPUTED_VALUE"""),"Male")</f>
        <v>Male</v>
      </c>
      <c r="F25" s="17" t="str">
        <f>IFERROR(__xludf.DUMMYFUNCTION("""COMPUTED_VALUE"""),"Engineering")</f>
        <v>Engineering</v>
      </c>
      <c r="G25" s="18">
        <f>IFERROR(__xludf.DUMMYFUNCTION("""COMPUTED_VALUE"""),118976.16)</f>
        <v>118976.16</v>
      </c>
      <c r="H25" s="17" t="str">
        <f>IFERROR(__xludf.DUMMYFUNCTION("""COMPUTED_VALUE"""),"Above 100k")</f>
        <v>Above 100k</v>
      </c>
      <c r="I25" s="19">
        <f>IFERROR(__xludf.DUMMYFUNCTION("""COMPUTED_VALUE"""),44120.0)</f>
        <v>44120</v>
      </c>
      <c r="J25" s="17">
        <f>IFERROR(__xludf.DUMMYFUNCTION("""COMPUTED_VALUE"""),1.0)</f>
        <v>1</v>
      </c>
      <c r="K25" s="17" t="str">
        <f>IFERROR(__xludf.DUMMYFUNCTION("""COMPUTED_VALUE"""),"Permanent")</f>
        <v>Permanent</v>
      </c>
      <c r="L25" s="17" t="str">
        <f>IFERROR(__xludf.DUMMYFUNCTION("""COMPUTED_VALUE"""),"Wellington, New Zealand")</f>
        <v>Wellington, New Zealand</v>
      </c>
      <c r="M25" s="17">
        <f>IFERROR(__xludf.DUMMYFUNCTION("""COMPUTED_VALUE"""),3.682191780821918)</f>
        <v>3.682191781</v>
      </c>
      <c r="N25" s="17" t="str">
        <f>IFERROR(__xludf.DUMMYFUNCTION("""COMPUTED_VALUE"""),"Full time")</f>
        <v>Full time</v>
      </c>
    </row>
    <row r="26" ht="14.25" customHeight="1">
      <c r="B26" s="17" t="str">
        <f>IFERROR(__xludf.DUMMYFUNCTION("""COMPUTED_VALUE"""),"PR04601")</f>
        <v>PR04601</v>
      </c>
      <c r="C26" s="17" t="str">
        <f>IFERROR(__xludf.DUMMYFUNCTION("""COMPUTED_VALUE"""),"Yedukondalu")</f>
        <v>Yedukondalu</v>
      </c>
      <c r="D26" s="17" t="str">
        <f>IFERROR(__xludf.DUMMYFUNCTION("""COMPUTED_VALUE"""),"Panditula")</f>
        <v>Panditula</v>
      </c>
      <c r="E26" s="17" t="str">
        <f>IFERROR(__xludf.DUMMYFUNCTION("""COMPUTED_VALUE"""),"Need to check")</f>
        <v>Need to check</v>
      </c>
      <c r="F26" s="17" t="str">
        <f>IFERROR(__xludf.DUMMYFUNCTION("""COMPUTED_VALUE"""),"Support")</f>
        <v>Support</v>
      </c>
      <c r="G26" s="18">
        <f>IFERROR(__xludf.DUMMYFUNCTION("""COMPUTED_VALUE"""),104802.63)</f>
        <v>104802.63</v>
      </c>
      <c r="H26" s="17" t="str">
        <f>IFERROR(__xludf.DUMMYFUNCTION("""COMPUTED_VALUE"""),"Above 100k")</f>
        <v>Above 100k</v>
      </c>
      <c r="I26" s="19">
        <f>IFERROR(__xludf.DUMMYFUNCTION("""COMPUTED_VALUE"""),44502.0)</f>
        <v>44502</v>
      </c>
      <c r="J26" s="17">
        <f>IFERROR(__xludf.DUMMYFUNCTION("""COMPUTED_VALUE"""),1.0)</f>
        <v>1</v>
      </c>
      <c r="K26" s="17" t="str">
        <f>IFERROR(__xludf.DUMMYFUNCTION("""COMPUTED_VALUE"""),"Permanent")</f>
        <v>Permanent</v>
      </c>
      <c r="L26" s="17" t="str">
        <f>IFERROR(__xludf.DUMMYFUNCTION("""COMPUTED_VALUE"""),"Hyderabad, India")</f>
        <v>Hyderabad, India</v>
      </c>
      <c r="M26" s="17">
        <f>IFERROR(__xludf.DUMMYFUNCTION("""COMPUTED_VALUE"""),2.6356164383561644)</f>
        <v>2.635616438</v>
      </c>
      <c r="N26" s="17" t="str">
        <f>IFERROR(__xludf.DUMMYFUNCTION("""COMPUTED_VALUE"""),"Full time")</f>
        <v>Full time</v>
      </c>
    </row>
    <row r="27" ht="14.25" customHeight="1">
      <c r="B27" s="17" t="str">
        <f>IFERROR(__xludf.DUMMYFUNCTION("""COMPUTED_VALUE"""),"TN01281")</f>
        <v>TN01281</v>
      </c>
      <c r="C27" s="17" t="str">
        <f>IFERROR(__xludf.DUMMYFUNCTION("""COMPUTED_VALUE"""),"Cletus")</f>
        <v>Cletus</v>
      </c>
      <c r="D27" s="17" t="str">
        <f>IFERROR(__xludf.DUMMYFUNCTION("""COMPUTED_VALUE"""),"McGarahan")</f>
        <v>McGarahan</v>
      </c>
      <c r="E27" s="17" t="str">
        <f>IFERROR(__xludf.DUMMYFUNCTION("""COMPUTED_VALUE"""),"Female")</f>
        <v>Female</v>
      </c>
      <c r="F27" s="17" t="str">
        <f>IFERROR(__xludf.DUMMYFUNCTION("""COMPUTED_VALUE"""),"Engineering")</f>
        <v>Engineering</v>
      </c>
      <c r="G27" s="18">
        <f>IFERROR(__xludf.DUMMYFUNCTION("""COMPUTED_VALUE"""),114425.19)</f>
        <v>114425.19</v>
      </c>
      <c r="H27" s="17" t="str">
        <f>IFERROR(__xludf.DUMMYFUNCTION("""COMPUTED_VALUE"""),"Above 100k")</f>
        <v>Above 100k</v>
      </c>
      <c r="I27" s="19">
        <f>IFERROR(__xludf.DUMMYFUNCTION("""COMPUTED_VALUE"""),43857.0)</f>
        <v>43857</v>
      </c>
      <c r="J27" s="17">
        <f>IFERROR(__xludf.DUMMYFUNCTION("""COMPUTED_VALUE"""),1.0)</f>
        <v>1</v>
      </c>
      <c r="K27" s="17" t="str">
        <f>IFERROR(__xludf.DUMMYFUNCTION("""COMPUTED_VALUE"""),"Permanent")</f>
        <v>Permanent</v>
      </c>
      <c r="L27" s="17" t="str">
        <f>IFERROR(__xludf.DUMMYFUNCTION("""COMPUTED_VALUE"""),"Wellington, New Zealand")</f>
        <v>Wellington, New Zealand</v>
      </c>
      <c r="M27" s="17">
        <f>IFERROR(__xludf.DUMMYFUNCTION("""COMPUTED_VALUE"""),4.402739726027397)</f>
        <v>4.402739726</v>
      </c>
      <c r="N27" s="17" t="str">
        <f>IFERROR(__xludf.DUMMYFUNCTION("""COMPUTED_VALUE"""),"Full time")</f>
        <v>Full time</v>
      </c>
    </row>
    <row r="28" ht="14.25" customHeight="1">
      <c r="B28" s="17" t="str">
        <f>IFERROR(__xludf.DUMMYFUNCTION("""COMPUTED_VALUE"""),"PR02288")</f>
        <v>PR02288</v>
      </c>
      <c r="C28" s="17" t="str">
        <f>IFERROR(__xludf.DUMMYFUNCTION("""COMPUTED_VALUE"""),"Althea")</f>
        <v>Althea</v>
      </c>
      <c r="D28" s="17" t="str">
        <f>IFERROR(__xludf.DUMMYFUNCTION("""COMPUTED_VALUE"""),"Bronger")</f>
        <v>Bronger</v>
      </c>
      <c r="E28" s="17" t="str">
        <f>IFERROR(__xludf.DUMMYFUNCTION("""COMPUTED_VALUE"""),"Male")</f>
        <v>Male</v>
      </c>
      <c r="F28" s="17" t="str">
        <f>IFERROR(__xludf.DUMMYFUNCTION("""COMPUTED_VALUE"""),"Product Management")</f>
        <v>Product Management</v>
      </c>
      <c r="G28" s="18">
        <f>IFERROR(__xludf.DUMMYFUNCTION("""COMPUTED_VALUE"""),104335.04)</f>
        <v>104335.04</v>
      </c>
      <c r="H28" s="17" t="str">
        <f>IFERROR(__xludf.DUMMYFUNCTION("""COMPUTED_VALUE"""),"Above 100k")</f>
        <v>Above 100k</v>
      </c>
      <c r="I28" s="19">
        <f>IFERROR(__xludf.DUMMYFUNCTION("""COMPUTED_VALUE"""),43874.0)</f>
        <v>43874</v>
      </c>
      <c r="J28" s="17">
        <f>IFERROR(__xludf.DUMMYFUNCTION("""COMPUTED_VALUE"""),1.0)</f>
        <v>1</v>
      </c>
      <c r="K28" s="17" t="str">
        <f>IFERROR(__xludf.DUMMYFUNCTION("""COMPUTED_VALUE"""),"Permanent")</f>
        <v>Permanent</v>
      </c>
      <c r="L28" s="17" t="str">
        <f>IFERROR(__xludf.DUMMYFUNCTION("""COMPUTED_VALUE"""),"Columbus, USA")</f>
        <v>Columbus, USA</v>
      </c>
      <c r="M28" s="17">
        <f>IFERROR(__xludf.DUMMYFUNCTION("""COMPUTED_VALUE"""),4.3561643835616435)</f>
        <v>4.356164384</v>
      </c>
      <c r="N28" s="17" t="str">
        <f>IFERROR(__xludf.DUMMYFUNCTION("""COMPUTED_VALUE"""),"Full time")</f>
        <v>Full time</v>
      </c>
    </row>
    <row r="29" ht="14.25" customHeight="1">
      <c r="B29" s="17" t="str">
        <f>IFERROR(__xludf.DUMMYFUNCTION("""COMPUTED_VALUE"""),"SQ01620")</f>
        <v>SQ01620</v>
      </c>
      <c r="C29" s="17" t="str">
        <f>IFERROR(__xludf.DUMMYFUNCTION("""COMPUTED_VALUE"""),"Westbrook")</f>
        <v>Westbrook</v>
      </c>
      <c r="D29" s="17" t="str">
        <f>IFERROR(__xludf.DUMMYFUNCTION("""COMPUTED_VALUE"""),"Brandino")</f>
        <v>Brandino</v>
      </c>
      <c r="E29" s="17" t="str">
        <f>IFERROR(__xludf.DUMMYFUNCTION("""COMPUTED_VALUE"""),"Male")</f>
        <v>Male</v>
      </c>
      <c r="F29" s="17" t="str">
        <f>IFERROR(__xludf.DUMMYFUNCTION("""COMPUTED_VALUE"""),"Legal")</f>
        <v>Legal</v>
      </c>
      <c r="G29" s="18">
        <f>IFERROR(__xludf.DUMMYFUNCTION("""COMPUTED_VALUE"""),113616.23)</f>
        <v>113616.23</v>
      </c>
      <c r="H29" s="17" t="str">
        <f>IFERROR(__xludf.DUMMYFUNCTION("""COMPUTED_VALUE"""),"Above 100k")</f>
        <v>Above 100k</v>
      </c>
      <c r="I29" s="19">
        <f>IFERROR(__xludf.DUMMYFUNCTION("""COMPUTED_VALUE"""),43255.0)</f>
        <v>43255</v>
      </c>
      <c r="J29" s="17">
        <f>IFERROR(__xludf.DUMMYFUNCTION("""COMPUTED_VALUE"""),1.0)</f>
        <v>1</v>
      </c>
      <c r="K29" s="17" t="str">
        <f>IFERROR(__xludf.DUMMYFUNCTION("""COMPUTED_VALUE"""),"Permanent")</f>
        <v>Permanent</v>
      </c>
      <c r="L29" s="17" t="str">
        <f>IFERROR(__xludf.DUMMYFUNCTION("""COMPUTED_VALUE"""),"Remote")</f>
        <v>Remote</v>
      </c>
      <c r="M29" s="17">
        <f>IFERROR(__xludf.DUMMYFUNCTION("""COMPUTED_VALUE"""),6.052054794520548)</f>
        <v>6.052054795</v>
      </c>
      <c r="N29" s="17" t="str">
        <f>IFERROR(__xludf.DUMMYFUNCTION("""COMPUTED_VALUE"""),"Full time")</f>
        <v>Full time</v>
      </c>
    </row>
    <row r="30" ht="14.25" customHeight="1">
      <c r="B30" s="17" t="str">
        <f>IFERROR(__xludf.DUMMYFUNCTION("""COMPUTED_VALUE"""),"VT04681")</f>
        <v>VT04681</v>
      </c>
      <c r="C30" s="17" t="str">
        <f>IFERROR(__xludf.DUMMYFUNCTION("""COMPUTED_VALUE"""),"Nickolai")</f>
        <v>Nickolai</v>
      </c>
      <c r="D30" s="17" t="str">
        <f>IFERROR(__xludf.DUMMYFUNCTION("""COMPUTED_VALUE"""),"Artin")</f>
        <v>Artin</v>
      </c>
      <c r="E30" s="17" t="str">
        <f>IFERROR(__xludf.DUMMYFUNCTION("""COMPUTED_VALUE"""),"Female")</f>
        <v>Female</v>
      </c>
      <c r="F30" s="17" t="str">
        <f>IFERROR(__xludf.DUMMYFUNCTION("""COMPUTED_VALUE"""),"Product Management")</f>
        <v>Product Management</v>
      </c>
      <c r="G30" s="18">
        <f>IFERROR(__xludf.DUMMYFUNCTION("""COMPUTED_VALUE"""),110906.35)</f>
        <v>110906.35</v>
      </c>
      <c r="H30" s="17" t="str">
        <f>IFERROR(__xludf.DUMMYFUNCTION("""COMPUTED_VALUE"""),"Above 100k")</f>
        <v>Above 100k</v>
      </c>
      <c r="I30" s="19">
        <f>IFERROR(__xludf.DUMMYFUNCTION("""COMPUTED_VALUE"""),43434.0)</f>
        <v>43434</v>
      </c>
      <c r="J30" s="17">
        <f>IFERROR(__xludf.DUMMYFUNCTION("""COMPUTED_VALUE"""),1.0)</f>
        <v>1</v>
      </c>
      <c r="K30" s="17" t="str">
        <f>IFERROR(__xludf.DUMMYFUNCTION("""COMPUTED_VALUE"""),"Temporary")</f>
        <v>Temporary</v>
      </c>
      <c r="L30" s="17" t="str">
        <f>IFERROR(__xludf.DUMMYFUNCTION("""COMPUTED_VALUE"""),"Wellington, New Zealand")</f>
        <v>Wellington, New Zealand</v>
      </c>
      <c r="M30" s="17">
        <f>IFERROR(__xludf.DUMMYFUNCTION("""COMPUTED_VALUE"""),5.561643835616438)</f>
        <v>5.561643836</v>
      </c>
      <c r="N30" s="17" t="str">
        <f>IFERROR(__xludf.DUMMYFUNCTION("""COMPUTED_VALUE"""),"Full time")</f>
        <v>Full time</v>
      </c>
    </row>
    <row r="31" ht="14.25" customHeight="1">
      <c r="B31" s="17" t="str">
        <f>IFERROR(__xludf.DUMMYFUNCTION("""COMPUTED_VALUE"""),"TN04246")</f>
        <v>TN04246</v>
      </c>
      <c r="C31" s="17" t="str">
        <f>IFERROR(__xludf.DUMMYFUNCTION("""COMPUTED_VALUE"""),"Shaylyn")</f>
        <v>Shaylyn</v>
      </c>
      <c r="D31" s="17" t="str">
        <f>IFERROR(__xludf.DUMMYFUNCTION("""COMPUTED_VALUE"""),"Ransbury")</f>
        <v>Ransbury</v>
      </c>
      <c r="E31" s="17" t="str">
        <f>IFERROR(__xludf.DUMMYFUNCTION("""COMPUTED_VALUE"""),"Female")</f>
        <v>Female</v>
      </c>
      <c r="F31" s="17" t="str">
        <f>IFERROR(__xludf.DUMMYFUNCTION("""COMPUTED_VALUE"""),"Support")</f>
        <v>Support</v>
      </c>
      <c r="G31" s="18">
        <f>IFERROR(__xludf.DUMMYFUNCTION("""COMPUTED_VALUE"""),100371.31)</f>
        <v>100371.31</v>
      </c>
      <c r="H31" s="17" t="str">
        <f>IFERROR(__xludf.DUMMYFUNCTION("""COMPUTED_VALUE"""),"Above 100k")</f>
        <v>Above 100k</v>
      </c>
      <c r="I31" s="19">
        <f>IFERROR(__xludf.DUMMYFUNCTION("""COMPUTED_VALUE"""),44067.0)</f>
        <v>44067</v>
      </c>
      <c r="J31" s="17">
        <f>IFERROR(__xludf.DUMMYFUNCTION("""COMPUTED_VALUE"""),0.8)</f>
        <v>0.8</v>
      </c>
      <c r="K31" s="17" t="str">
        <f>IFERROR(__xludf.DUMMYFUNCTION("""COMPUTED_VALUE"""),"Fixed Term")</f>
        <v>Fixed Term</v>
      </c>
      <c r="L31" s="17" t="str">
        <f>IFERROR(__xludf.DUMMYFUNCTION("""COMPUTED_VALUE"""),"Auckland, New Zealand")</f>
        <v>Auckland, New Zealand</v>
      </c>
      <c r="M31" s="17">
        <f>IFERROR(__xludf.DUMMYFUNCTION("""COMPUTED_VALUE"""),3.8273972602739725)</f>
        <v>3.82739726</v>
      </c>
      <c r="N31" s="17" t="str">
        <f>IFERROR(__xludf.DUMMYFUNCTION("""COMPUTED_VALUE"""),"Part time")</f>
        <v>Part time</v>
      </c>
    </row>
    <row r="32" ht="14.25" customHeight="1">
      <c r="B32" s="17" t="str">
        <f>IFERROR(__xludf.DUMMYFUNCTION("""COMPUTED_VALUE"""),"VT02801")</f>
        <v>VT02801</v>
      </c>
      <c r="C32" s="17" t="str">
        <f>IFERROR(__xludf.DUMMYFUNCTION("""COMPUTED_VALUE"""),"Shellysheldon")</f>
        <v>Shellysheldon</v>
      </c>
      <c r="D32" s="17" t="str">
        <f>IFERROR(__xludf.DUMMYFUNCTION("""COMPUTED_VALUE"""),"Mahady")</f>
        <v>Mahady</v>
      </c>
      <c r="E32" s="17" t="str">
        <f>IFERROR(__xludf.DUMMYFUNCTION("""COMPUTED_VALUE"""),"Male")</f>
        <v>Male</v>
      </c>
      <c r="F32" s="17" t="str">
        <f>IFERROR(__xludf.DUMMYFUNCTION("""COMPUTED_VALUE"""),"Training")</f>
        <v>Training</v>
      </c>
      <c r="G32" s="18">
        <f>IFERROR(__xludf.DUMMYFUNCTION("""COMPUTED_VALUE"""),114691.03)</f>
        <v>114691.03</v>
      </c>
      <c r="H32" s="17" t="str">
        <f>IFERROR(__xludf.DUMMYFUNCTION("""COMPUTED_VALUE"""),"Above 100k")</f>
        <v>Above 100k</v>
      </c>
      <c r="I32" s="19">
        <f>IFERROR(__xludf.DUMMYFUNCTION("""COMPUTED_VALUE"""),44039.0)</f>
        <v>44039</v>
      </c>
      <c r="J32" s="17">
        <f>IFERROR(__xludf.DUMMYFUNCTION("""COMPUTED_VALUE"""),1.0)</f>
        <v>1</v>
      </c>
      <c r="K32" s="17" t="str">
        <f>IFERROR(__xludf.DUMMYFUNCTION("""COMPUTED_VALUE"""),"Temporary")</f>
        <v>Temporary</v>
      </c>
      <c r="L32" s="17" t="str">
        <f>IFERROR(__xludf.DUMMYFUNCTION("""COMPUTED_VALUE"""),"Wellington, New Zealand")</f>
        <v>Wellington, New Zealand</v>
      </c>
      <c r="M32" s="17">
        <f>IFERROR(__xludf.DUMMYFUNCTION("""COMPUTED_VALUE"""),3.904109589041096)</f>
        <v>3.904109589</v>
      </c>
      <c r="N32" s="17" t="str">
        <f>IFERROR(__xludf.DUMMYFUNCTION("""COMPUTED_VALUE"""),"Full time")</f>
        <v>Full time</v>
      </c>
    </row>
    <row r="33" ht="14.25" customHeight="1">
      <c r="B33" s="17" t="str">
        <f>IFERROR(__xludf.DUMMYFUNCTION("""COMPUTED_VALUE"""),"PR02208")</f>
        <v>PR02208</v>
      </c>
      <c r="C33" s="17" t="str">
        <f>IFERROR(__xludf.DUMMYFUNCTION("""COMPUTED_VALUE"""),"Gowri")</f>
        <v>Gowri</v>
      </c>
      <c r="D33" s="17" t="str">
        <f>IFERROR(__xludf.DUMMYFUNCTION("""COMPUTED_VALUE"""),"Sankar")</f>
        <v>Sankar</v>
      </c>
      <c r="E33" s="17" t="str">
        <f>IFERROR(__xludf.DUMMYFUNCTION("""COMPUTED_VALUE"""),"Female")</f>
        <v>Female</v>
      </c>
      <c r="F33" s="17" t="str">
        <f>IFERROR(__xludf.DUMMYFUNCTION("""COMPUTED_VALUE"""),"Training")</f>
        <v>Training</v>
      </c>
      <c r="G33" s="18">
        <f>IFERROR(__xludf.DUMMYFUNCTION("""COMPUTED_VALUE"""),102934.09)</f>
        <v>102934.09</v>
      </c>
      <c r="H33" s="17" t="str">
        <f>IFERROR(__xludf.DUMMYFUNCTION("""COMPUTED_VALUE"""),"Above 100k")</f>
        <v>Above 100k</v>
      </c>
      <c r="I33" s="19">
        <f>IFERROR(__xludf.DUMMYFUNCTION("""COMPUTED_VALUE"""),44315.0)</f>
        <v>44315</v>
      </c>
      <c r="J33" s="17">
        <f>IFERROR(__xludf.DUMMYFUNCTION("""COMPUTED_VALUE"""),1.0)</f>
        <v>1</v>
      </c>
      <c r="K33" s="17" t="str">
        <f>IFERROR(__xludf.DUMMYFUNCTION("""COMPUTED_VALUE"""),"Permanent")</f>
        <v>Permanent</v>
      </c>
      <c r="L33" s="17" t="str">
        <f>IFERROR(__xludf.DUMMYFUNCTION("""COMPUTED_VALUE"""),"Hyderabad, India")</f>
        <v>Hyderabad, India</v>
      </c>
      <c r="M33" s="17">
        <f>IFERROR(__xludf.DUMMYFUNCTION("""COMPUTED_VALUE"""),3.147945205479452)</f>
        <v>3.147945205</v>
      </c>
      <c r="N33" s="17" t="str">
        <f>IFERROR(__xludf.DUMMYFUNCTION("""COMPUTED_VALUE"""),"Full time")</f>
        <v>Full time</v>
      </c>
    </row>
    <row r="34" ht="14.25" customHeight="1">
      <c r="B34" s="17" t="str">
        <f>IFERROR(__xludf.DUMMYFUNCTION("""COMPUTED_VALUE"""),"VT04093")</f>
        <v>VT04093</v>
      </c>
      <c r="C34" s="17" t="str">
        <f>IFERROR(__xludf.DUMMYFUNCTION("""COMPUTED_VALUE"""),"Prasanna")</f>
        <v>Prasanna</v>
      </c>
      <c r="D34" s="17" t="str">
        <f>IFERROR(__xludf.DUMMYFUNCTION("""COMPUTED_VALUE"""),"Lakshmi")</f>
        <v>Lakshmi</v>
      </c>
      <c r="E34" s="17" t="str">
        <f>IFERROR(__xludf.DUMMYFUNCTION("""COMPUTED_VALUE"""),"Female")</f>
        <v>Female</v>
      </c>
      <c r="F34" s="17" t="str">
        <f>IFERROR(__xludf.DUMMYFUNCTION("""COMPUTED_VALUE"""),"Training")</f>
        <v>Training</v>
      </c>
      <c r="G34" s="18">
        <f>IFERROR(__xludf.DUMMYFUNCTION("""COMPUTED_VALUE"""),116767.63)</f>
        <v>116767.63</v>
      </c>
      <c r="H34" s="17" t="str">
        <f>IFERROR(__xludf.DUMMYFUNCTION("""COMPUTED_VALUE"""),"Above 100k")</f>
        <v>Above 100k</v>
      </c>
      <c r="I34" s="19">
        <f>IFERROR(__xludf.DUMMYFUNCTION("""COMPUTED_VALUE"""),43949.0)</f>
        <v>43949</v>
      </c>
      <c r="J34" s="17">
        <f>IFERROR(__xludf.DUMMYFUNCTION("""COMPUTED_VALUE"""),0.4)</f>
        <v>0.4</v>
      </c>
      <c r="K34" s="17" t="str">
        <f>IFERROR(__xludf.DUMMYFUNCTION("""COMPUTED_VALUE"""),"Temporary")</f>
        <v>Temporary</v>
      </c>
      <c r="L34" s="17" t="str">
        <f>IFERROR(__xludf.DUMMYFUNCTION("""COMPUTED_VALUE"""),"Chennai, India")</f>
        <v>Chennai, India</v>
      </c>
      <c r="M34" s="17">
        <f>IFERROR(__xludf.DUMMYFUNCTION("""COMPUTED_VALUE"""),4.1506849315068495)</f>
        <v>4.150684932</v>
      </c>
      <c r="N34" s="17" t="str">
        <f>IFERROR(__xludf.DUMMYFUNCTION("""COMPUTED_VALUE"""),"Part time")</f>
        <v>Part time</v>
      </c>
    </row>
    <row r="35" ht="14.25" customHeight="1">
      <c r="B35" s="17" t="str">
        <f>IFERROR(__xludf.DUMMYFUNCTION("""COMPUTED_VALUE"""),"VT03421")</f>
        <v>VT03421</v>
      </c>
      <c r="C35" s="17" t="str">
        <f>IFERROR(__xludf.DUMMYFUNCTION("""COMPUTED_VALUE"""),"Alic")</f>
        <v>Alic</v>
      </c>
      <c r="D35" s="17" t="str">
        <f>IFERROR(__xludf.DUMMYFUNCTION("""COMPUTED_VALUE"""),"Bagg")</f>
        <v>Bagg</v>
      </c>
      <c r="E35" s="17" t="str">
        <f>IFERROR(__xludf.DUMMYFUNCTION("""COMPUTED_VALUE"""),"Male")</f>
        <v>Male</v>
      </c>
      <c r="F35" s="17" t="str">
        <f>IFERROR(__xludf.DUMMYFUNCTION("""COMPUTED_VALUE"""),"Legal")</f>
        <v>Legal</v>
      </c>
      <c r="G35" s="18">
        <f>IFERROR(__xludf.DUMMYFUNCTION("""COMPUTED_VALUE"""),113747.56)</f>
        <v>113747.56</v>
      </c>
      <c r="H35" s="17" t="str">
        <f>IFERROR(__xludf.DUMMYFUNCTION("""COMPUTED_VALUE"""),"Above 100k")</f>
        <v>Above 100k</v>
      </c>
      <c r="I35" s="19">
        <f>IFERROR(__xludf.DUMMYFUNCTION("""COMPUTED_VALUE"""),44270.0)</f>
        <v>44270</v>
      </c>
      <c r="J35" s="17">
        <f>IFERROR(__xludf.DUMMYFUNCTION("""COMPUTED_VALUE"""),0.7)</f>
        <v>0.7</v>
      </c>
      <c r="K35" s="17" t="str">
        <f>IFERROR(__xludf.DUMMYFUNCTION("""COMPUTED_VALUE"""),"Temporary")</f>
        <v>Temporary</v>
      </c>
      <c r="L35" s="17" t="str">
        <f>IFERROR(__xludf.DUMMYFUNCTION("""COMPUTED_VALUE"""),"Columbus, USA")</f>
        <v>Columbus, USA</v>
      </c>
      <c r="M35" s="17">
        <f>IFERROR(__xludf.DUMMYFUNCTION("""COMPUTED_VALUE"""),3.271232876712329)</f>
        <v>3.271232877</v>
      </c>
      <c r="N35" s="17" t="str">
        <f>IFERROR(__xludf.DUMMYFUNCTION("""COMPUTED_VALUE"""),"Part time")</f>
        <v>Part time</v>
      </c>
    </row>
    <row r="36" ht="14.25" customHeight="1">
      <c r="B36" s="17" t="str">
        <f>IFERROR(__xludf.DUMMYFUNCTION("""COMPUTED_VALUE"""),"VT02491")</f>
        <v>VT02491</v>
      </c>
      <c r="C36" s="17" t="str">
        <f>IFERROR(__xludf.DUMMYFUNCTION("""COMPUTED_VALUE"""),"Alexis")</f>
        <v>Alexis</v>
      </c>
      <c r="D36" s="17" t="str">
        <f>IFERROR(__xludf.DUMMYFUNCTION("""COMPUTED_VALUE"""),"Gotfrey")</f>
        <v>Gotfrey</v>
      </c>
      <c r="E36" s="17" t="str">
        <f>IFERROR(__xludf.DUMMYFUNCTION("""COMPUTED_VALUE"""),"Male")</f>
        <v>Male</v>
      </c>
      <c r="F36" s="17" t="str">
        <f>IFERROR(__xludf.DUMMYFUNCTION("""COMPUTED_VALUE"""),"Engineering")</f>
        <v>Engineering</v>
      </c>
      <c r="G36" s="18">
        <f>IFERROR(__xludf.DUMMYFUNCTION("""COMPUTED_VALUE"""),114465.93)</f>
        <v>114465.93</v>
      </c>
      <c r="H36" s="17" t="str">
        <f>IFERROR(__xludf.DUMMYFUNCTION("""COMPUTED_VALUE"""),"Above 100k")</f>
        <v>Above 100k</v>
      </c>
      <c r="I36" s="19">
        <f>IFERROR(__xludf.DUMMYFUNCTION("""COMPUTED_VALUE"""),43291.0)</f>
        <v>43291</v>
      </c>
      <c r="J36" s="17">
        <f>IFERROR(__xludf.DUMMYFUNCTION("""COMPUTED_VALUE"""),1.0)</f>
        <v>1</v>
      </c>
      <c r="K36" s="17" t="str">
        <f>IFERROR(__xludf.DUMMYFUNCTION("""COMPUTED_VALUE"""),"Temporary")</f>
        <v>Temporary</v>
      </c>
      <c r="L36" s="17" t="str">
        <f>IFERROR(__xludf.DUMMYFUNCTION("""COMPUTED_VALUE"""),"Wellington, New Zealand")</f>
        <v>Wellington, New Zealand</v>
      </c>
      <c r="M36" s="17">
        <f>IFERROR(__xludf.DUMMYFUNCTION("""COMPUTED_VALUE"""),5.953424657534247)</f>
        <v>5.953424658</v>
      </c>
      <c r="N36" s="17" t="str">
        <f>IFERROR(__xludf.DUMMYFUNCTION("""COMPUTED_VALUE"""),"Full time")</f>
        <v>Full time</v>
      </c>
    </row>
    <row r="37" ht="14.25" customHeight="1">
      <c r="B37" s="17" t="str">
        <f>IFERROR(__xludf.DUMMYFUNCTION("""COMPUTED_VALUE"""),"TN04058")</f>
        <v>TN04058</v>
      </c>
      <c r="C37" s="17" t="str">
        <f>IFERROR(__xludf.DUMMYFUNCTION("""COMPUTED_VALUE"""),"Subbarao")</f>
        <v>Subbarao</v>
      </c>
      <c r="D37" s="17" t="str">
        <f>IFERROR(__xludf.DUMMYFUNCTION("""COMPUTED_VALUE"""),"Malladi")</f>
        <v>Malladi</v>
      </c>
      <c r="E37" s="17" t="str">
        <f>IFERROR(__xludf.DUMMYFUNCTION("""COMPUTED_VALUE"""),"Male")</f>
        <v>Male</v>
      </c>
      <c r="F37" s="17" t="str">
        <f>IFERROR(__xludf.DUMMYFUNCTION("""COMPUTED_VALUE"""),"Product Management")</f>
        <v>Product Management</v>
      </c>
      <c r="G37" s="18">
        <f>IFERROR(__xludf.DUMMYFUNCTION("""COMPUTED_VALUE"""),106775.14)</f>
        <v>106775.14</v>
      </c>
      <c r="H37" s="17" t="str">
        <f>IFERROR(__xludf.DUMMYFUNCTION("""COMPUTED_VALUE"""),"Above 100k")</f>
        <v>Above 100k</v>
      </c>
      <c r="I37" s="19">
        <f>IFERROR(__xludf.DUMMYFUNCTION("""COMPUTED_VALUE"""),43563.0)</f>
        <v>43563</v>
      </c>
      <c r="J37" s="17">
        <f>IFERROR(__xludf.DUMMYFUNCTION("""COMPUTED_VALUE"""),1.0)</f>
        <v>1</v>
      </c>
      <c r="K37" s="17" t="str">
        <f>IFERROR(__xludf.DUMMYFUNCTION("""COMPUTED_VALUE"""),"Fixed Term")</f>
        <v>Fixed Term</v>
      </c>
      <c r="L37" s="17" t="str">
        <f>IFERROR(__xludf.DUMMYFUNCTION("""COMPUTED_VALUE"""),"Hyderabad, India")</f>
        <v>Hyderabad, India</v>
      </c>
      <c r="M37" s="17">
        <f>IFERROR(__xludf.DUMMYFUNCTION("""COMPUTED_VALUE"""),5.208219178082191)</f>
        <v>5.208219178</v>
      </c>
      <c r="N37" s="17" t="str">
        <f>IFERROR(__xludf.DUMMYFUNCTION("""COMPUTED_VALUE"""),"Full time")</f>
        <v>Full time</v>
      </c>
    </row>
    <row r="38" ht="14.25" customHeight="1">
      <c r="B38" s="17" t="str">
        <f>IFERROR(__xludf.DUMMYFUNCTION("""COMPUTED_VALUE"""),"PR01159")</f>
        <v>PR01159</v>
      </c>
      <c r="C38" s="17" t="str">
        <f>IFERROR(__xludf.DUMMYFUNCTION("""COMPUTED_VALUE"""),"Mollie")</f>
        <v>Mollie</v>
      </c>
      <c r="D38" s="17" t="str">
        <f>IFERROR(__xludf.DUMMYFUNCTION("""COMPUTED_VALUE"""),"Hanway")</f>
        <v>Hanway</v>
      </c>
      <c r="E38" s="17" t="str">
        <f>IFERROR(__xludf.DUMMYFUNCTION("""COMPUTED_VALUE"""),"Male")</f>
        <v>Male</v>
      </c>
      <c r="F38" s="17" t="str">
        <f>IFERROR(__xludf.DUMMYFUNCTION("""COMPUTED_VALUE"""),"Engineering")</f>
        <v>Engineering</v>
      </c>
      <c r="G38" s="18">
        <f>IFERROR(__xludf.DUMMYFUNCTION("""COMPUTED_VALUE"""),112645.99)</f>
        <v>112645.99</v>
      </c>
      <c r="H38" s="17" t="str">
        <f>IFERROR(__xludf.DUMMYFUNCTION("""COMPUTED_VALUE"""),"Above 100k")</f>
        <v>Above 100k</v>
      </c>
      <c r="I38" s="19">
        <f>IFERROR(__xludf.DUMMYFUNCTION("""COMPUTED_VALUE"""),43759.0)</f>
        <v>43759</v>
      </c>
      <c r="J38" s="17">
        <f>IFERROR(__xludf.DUMMYFUNCTION("""COMPUTED_VALUE"""),0.6)</f>
        <v>0.6</v>
      </c>
      <c r="K38" s="17" t="str">
        <f>IFERROR(__xludf.DUMMYFUNCTION("""COMPUTED_VALUE"""),"Permanent")</f>
        <v>Permanent</v>
      </c>
      <c r="L38" s="17" t="str">
        <f>IFERROR(__xludf.DUMMYFUNCTION("""COMPUTED_VALUE"""),"Seattle, USA")</f>
        <v>Seattle, USA</v>
      </c>
      <c r="M38" s="17">
        <f>IFERROR(__xludf.DUMMYFUNCTION("""COMPUTED_VALUE"""),4.671232876712328)</f>
        <v>4.671232877</v>
      </c>
      <c r="N38" s="17" t="str">
        <f>IFERROR(__xludf.DUMMYFUNCTION("""COMPUTED_VALUE"""),"Part time")</f>
        <v>Part time</v>
      </c>
    </row>
    <row r="39" ht="14.25" customHeight="1">
      <c r="B39" s="17" t="str">
        <f>IFERROR(__xludf.DUMMYFUNCTION("""COMPUTED_VALUE"""),"SQ03476")</f>
        <v>SQ03476</v>
      </c>
      <c r="C39" s="17" t="str">
        <f>IFERROR(__xludf.DUMMYFUNCTION("""COMPUTED_VALUE"""),"Ramalingam")</f>
        <v>Ramalingam</v>
      </c>
      <c r="D39" s="17" t="str">
        <f>IFERROR(__xludf.DUMMYFUNCTION("""COMPUTED_VALUE"""),"Kothapeta")</f>
        <v>Kothapeta</v>
      </c>
      <c r="E39" s="17" t="str">
        <f>IFERROR(__xludf.DUMMYFUNCTION("""COMPUTED_VALUE"""),"Need to check")</f>
        <v>Need to check</v>
      </c>
      <c r="F39" s="17" t="str">
        <f>IFERROR(__xludf.DUMMYFUNCTION("""COMPUTED_VALUE"""),"Accounting")</f>
        <v>Accounting</v>
      </c>
      <c r="G39" s="18">
        <f>IFERROR(__xludf.DUMMYFUNCTION("""COMPUTED_VALUE"""),107107.6)</f>
        <v>107107.6</v>
      </c>
      <c r="H39" s="17" t="str">
        <f>IFERROR(__xludf.DUMMYFUNCTION("""COMPUTED_VALUE"""),"Above 100k")</f>
        <v>Above 100k</v>
      </c>
      <c r="I39" s="19">
        <f>IFERROR(__xludf.DUMMYFUNCTION("""COMPUTED_VALUE"""),43325.0)</f>
        <v>43325</v>
      </c>
      <c r="J39" s="17">
        <f>IFERROR(__xludf.DUMMYFUNCTION("""COMPUTED_VALUE"""),0.9)</f>
        <v>0.9</v>
      </c>
      <c r="K39" s="17" t="str">
        <f>IFERROR(__xludf.DUMMYFUNCTION("""COMPUTED_VALUE"""),"Permanent")</f>
        <v>Permanent</v>
      </c>
      <c r="L39" s="17" t="str">
        <f>IFERROR(__xludf.DUMMYFUNCTION("""COMPUTED_VALUE"""),"Chennai, India")</f>
        <v>Chennai, India</v>
      </c>
      <c r="M39" s="17">
        <f>IFERROR(__xludf.DUMMYFUNCTION("""COMPUTED_VALUE"""),5.86027397260274)</f>
        <v>5.860273973</v>
      </c>
      <c r="N39" s="17" t="str">
        <f>IFERROR(__xludf.DUMMYFUNCTION("""COMPUTED_VALUE"""),"Part time")</f>
        <v>Part time</v>
      </c>
    </row>
    <row r="40" ht="14.25" customHeight="1">
      <c r="B40" s="17" t="str">
        <f>IFERROR(__xludf.DUMMYFUNCTION("""COMPUTED_VALUE"""),"VT01684")</f>
        <v>VT01684</v>
      </c>
      <c r="C40" s="17" t="str">
        <f>IFERROR(__xludf.DUMMYFUNCTION("""COMPUTED_VALUE"""),"Audry")</f>
        <v>Audry</v>
      </c>
      <c r="D40" s="17" t="str">
        <f>IFERROR(__xludf.DUMMYFUNCTION("""COMPUTED_VALUE"""),"Yu")</f>
        <v>Yu</v>
      </c>
      <c r="E40" s="17" t="str">
        <f>IFERROR(__xludf.DUMMYFUNCTION("""COMPUTED_VALUE"""),"Female")</f>
        <v>Female</v>
      </c>
      <c r="F40" s="17" t="str">
        <f>IFERROR(__xludf.DUMMYFUNCTION("""COMPUTED_VALUE"""),"Training")</f>
        <v>Training</v>
      </c>
      <c r="G40" s="18">
        <f>IFERROR(__xludf.DUMMYFUNCTION("""COMPUTED_VALUE"""),101187.36)</f>
        <v>101187.36</v>
      </c>
      <c r="H40" s="17" t="str">
        <f>IFERROR(__xludf.DUMMYFUNCTION("""COMPUTED_VALUE"""),"Above 100k")</f>
        <v>Above 100k</v>
      </c>
      <c r="I40" s="19">
        <f>IFERROR(__xludf.DUMMYFUNCTION("""COMPUTED_VALUE"""),43258.0)</f>
        <v>43258</v>
      </c>
      <c r="J40" s="17">
        <f>IFERROR(__xludf.DUMMYFUNCTION("""COMPUTED_VALUE"""),1.0)</f>
        <v>1</v>
      </c>
      <c r="K40" s="17" t="str">
        <f>IFERROR(__xludf.DUMMYFUNCTION("""COMPUTED_VALUE"""),"Fixed Term")</f>
        <v>Fixed Term</v>
      </c>
      <c r="L40" s="17" t="str">
        <f>IFERROR(__xludf.DUMMYFUNCTION("""COMPUTED_VALUE"""),"Columbus, USA")</f>
        <v>Columbus, USA</v>
      </c>
      <c r="M40" s="17">
        <f>IFERROR(__xludf.DUMMYFUNCTION("""COMPUTED_VALUE"""),6.043835616438356)</f>
        <v>6.043835616</v>
      </c>
      <c r="N40" s="17" t="str">
        <f>IFERROR(__xludf.DUMMYFUNCTION("""COMPUTED_VALUE"""),"Full time")</f>
        <v>Full time</v>
      </c>
    </row>
    <row r="41" ht="14.25" customHeight="1">
      <c r="B41" s="17" t="str">
        <f>IFERROR(__xludf.DUMMYFUNCTION("""COMPUTED_VALUE"""),"TN04740")</f>
        <v>TN04740</v>
      </c>
      <c r="C41" s="17" t="str">
        <f>IFERROR(__xludf.DUMMYFUNCTION("""COMPUTED_VALUE"""),"Tristam")</f>
        <v>Tristam</v>
      </c>
      <c r="D41" s="17" t="str">
        <f>IFERROR(__xludf.DUMMYFUNCTION("""COMPUTED_VALUE"""),"Cuming")</f>
        <v>Cuming</v>
      </c>
      <c r="E41" s="17" t="str">
        <f>IFERROR(__xludf.DUMMYFUNCTION("""COMPUTED_VALUE"""),"Female")</f>
        <v>Female</v>
      </c>
      <c r="F41" s="17" t="str">
        <f>IFERROR(__xludf.DUMMYFUNCTION("""COMPUTED_VALUE"""),"Support")</f>
        <v>Support</v>
      </c>
      <c r="G41" s="18">
        <f>IFERROR(__xludf.DUMMYFUNCTION("""COMPUTED_VALUE"""),104038.9)</f>
        <v>104038.9</v>
      </c>
      <c r="H41" s="17" t="str">
        <f>IFERROR(__xludf.DUMMYFUNCTION("""COMPUTED_VALUE"""),"Above 100k")</f>
        <v>Above 100k</v>
      </c>
      <c r="I41" s="19">
        <f>IFERROR(__xludf.DUMMYFUNCTION("""COMPUTED_VALUE"""),43815.0)</f>
        <v>43815</v>
      </c>
      <c r="J41" s="17">
        <f>IFERROR(__xludf.DUMMYFUNCTION("""COMPUTED_VALUE"""),1.0)</f>
        <v>1</v>
      </c>
      <c r="K41" s="17" t="str">
        <f>IFERROR(__xludf.DUMMYFUNCTION("""COMPUTED_VALUE"""),"Fixed Term")</f>
        <v>Fixed Term</v>
      </c>
      <c r="L41" s="17" t="str">
        <f>IFERROR(__xludf.DUMMYFUNCTION("""COMPUTED_VALUE"""),"Remote")</f>
        <v>Remote</v>
      </c>
      <c r="M41" s="17">
        <f>IFERROR(__xludf.DUMMYFUNCTION("""COMPUTED_VALUE"""),4.517808219178082)</f>
        <v>4.517808219</v>
      </c>
      <c r="N41" s="17" t="str">
        <f>IFERROR(__xludf.DUMMYFUNCTION("""COMPUTED_VALUE"""),"Full time")</f>
        <v>Full time</v>
      </c>
    </row>
    <row r="42" ht="14.25" customHeight="1">
      <c r="B42" s="17" t="str">
        <f>IFERROR(__xludf.DUMMYFUNCTION("""COMPUTED_VALUE"""),"VT01893")</f>
        <v>VT01893</v>
      </c>
      <c r="C42" s="17" t="str">
        <f>IFERROR(__xludf.DUMMYFUNCTION("""COMPUTED_VALUE"""),"Lindy")</f>
        <v>Lindy</v>
      </c>
      <c r="D42" s="17" t="str">
        <f>IFERROR(__xludf.DUMMYFUNCTION("""COMPUTED_VALUE"""),"Guillet")</f>
        <v>Guillet</v>
      </c>
      <c r="E42" s="17" t="str">
        <f>IFERROR(__xludf.DUMMYFUNCTION("""COMPUTED_VALUE"""),"Male")</f>
        <v>Male</v>
      </c>
      <c r="F42" s="17" t="str">
        <f>IFERROR(__xludf.DUMMYFUNCTION("""COMPUTED_VALUE"""),"Training")</f>
        <v>Training</v>
      </c>
      <c r="G42" s="18">
        <f>IFERROR(__xludf.DUMMYFUNCTION("""COMPUTED_VALUE"""),112778.28)</f>
        <v>112778.28</v>
      </c>
      <c r="H42" s="17" t="str">
        <f>IFERROR(__xludf.DUMMYFUNCTION("""COMPUTED_VALUE"""),"Above 100k")</f>
        <v>Above 100k</v>
      </c>
      <c r="I42" s="19">
        <f>IFERROR(__xludf.DUMMYFUNCTION("""COMPUTED_VALUE"""),43250.0)</f>
        <v>43250</v>
      </c>
      <c r="J42" s="17">
        <f>IFERROR(__xludf.DUMMYFUNCTION("""COMPUTED_VALUE"""),1.0)</f>
        <v>1</v>
      </c>
      <c r="K42" s="17" t="str">
        <f>IFERROR(__xludf.DUMMYFUNCTION("""COMPUTED_VALUE"""),"Fixed Term")</f>
        <v>Fixed Term</v>
      </c>
      <c r="L42" s="17" t="str">
        <f>IFERROR(__xludf.DUMMYFUNCTION("""COMPUTED_VALUE"""),"Remote")</f>
        <v>Remote</v>
      </c>
      <c r="M42" s="17">
        <f>IFERROR(__xludf.DUMMYFUNCTION("""COMPUTED_VALUE"""),6.065753424657534)</f>
        <v>6.065753425</v>
      </c>
      <c r="N42" s="17" t="str">
        <f>IFERROR(__xludf.DUMMYFUNCTION("""COMPUTED_VALUE"""),"Full time")</f>
        <v>Full time</v>
      </c>
    </row>
    <row r="43" ht="14.25" customHeight="1">
      <c r="B43" s="17" t="str">
        <f>IFERROR(__xludf.DUMMYFUNCTION("""COMPUTED_VALUE"""),"PR02010")</f>
        <v>PR02010</v>
      </c>
      <c r="C43" s="17" t="str">
        <f>IFERROR(__xludf.DUMMYFUNCTION("""COMPUTED_VALUE"""),"Prerana")</f>
        <v>Prerana</v>
      </c>
      <c r="D43" s="17" t="str">
        <f>IFERROR(__xludf.DUMMYFUNCTION("""COMPUTED_VALUE"""),"Nishita")</f>
        <v>Nishita</v>
      </c>
      <c r="E43" s="17" t="str">
        <f>IFERROR(__xludf.DUMMYFUNCTION("""COMPUTED_VALUE"""),"Male")</f>
        <v>Male</v>
      </c>
      <c r="F43" s="17" t="str">
        <f>IFERROR(__xludf.DUMMYFUNCTION("""COMPUTED_VALUE"""),"Product Management")</f>
        <v>Product Management</v>
      </c>
      <c r="G43" s="18">
        <f>IFERROR(__xludf.DUMMYFUNCTION("""COMPUTED_VALUE"""),115191.38)</f>
        <v>115191.38</v>
      </c>
      <c r="H43" s="17" t="str">
        <f>IFERROR(__xludf.DUMMYFUNCTION("""COMPUTED_VALUE"""),"Above 100k")</f>
        <v>Above 100k</v>
      </c>
      <c r="I43" s="19">
        <f>IFERROR(__xludf.DUMMYFUNCTION("""COMPUTED_VALUE"""),44004.0)</f>
        <v>44004</v>
      </c>
      <c r="J43" s="17">
        <f>IFERROR(__xludf.DUMMYFUNCTION("""COMPUTED_VALUE"""),1.0)</f>
        <v>1</v>
      </c>
      <c r="K43" s="17" t="str">
        <f>IFERROR(__xludf.DUMMYFUNCTION("""COMPUTED_VALUE"""),"Permanent")</f>
        <v>Permanent</v>
      </c>
      <c r="L43" s="17" t="str">
        <f>IFERROR(__xludf.DUMMYFUNCTION("""COMPUTED_VALUE"""),"Hyderabad, India")</f>
        <v>Hyderabad, India</v>
      </c>
      <c r="M43" s="17">
        <f>IFERROR(__xludf.DUMMYFUNCTION("""COMPUTED_VALUE"""),4.0)</f>
        <v>4</v>
      </c>
      <c r="N43" s="17" t="str">
        <f>IFERROR(__xludf.DUMMYFUNCTION("""COMPUTED_VALUE"""),"Full time")</f>
        <v>Full time</v>
      </c>
    </row>
    <row r="44" ht="14.25" customHeight="1">
      <c r="B44" s="17" t="str">
        <f>IFERROR(__xludf.DUMMYFUNCTION("""COMPUTED_VALUE"""),"SQ00498")</f>
        <v>SQ00498</v>
      </c>
      <c r="C44" s="17" t="str">
        <f>IFERROR(__xludf.DUMMYFUNCTION("""COMPUTED_VALUE"""),"Amery")</f>
        <v>Amery</v>
      </c>
      <c r="D44" s="17" t="str">
        <f>IFERROR(__xludf.DUMMYFUNCTION("""COMPUTED_VALUE"""),"Ofer")</f>
        <v>Ofer</v>
      </c>
      <c r="E44" s="17" t="str">
        <f>IFERROR(__xludf.DUMMYFUNCTION("""COMPUTED_VALUE"""),"Female")</f>
        <v>Female</v>
      </c>
      <c r="F44" s="17" t="str">
        <f>IFERROR(__xludf.DUMMYFUNCTION("""COMPUTED_VALUE"""),"Legal")</f>
        <v>Legal</v>
      </c>
      <c r="G44" s="18">
        <f>IFERROR(__xludf.DUMMYFUNCTION("""COMPUTED_VALUE"""),111049.84)</f>
        <v>111049.84</v>
      </c>
      <c r="H44" s="17" t="str">
        <f>IFERROR(__xludf.DUMMYFUNCTION("""COMPUTED_VALUE"""),"Above 100k")</f>
        <v>Above 100k</v>
      </c>
      <c r="I44" s="19">
        <f>IFERROR(__xludf.DUMMYFUNCTION("""COMPUTED_VALUE"""),44393.0)</f>
        <v>44393</v>
      </c>
      <c r="J44" s="17">
        <f>IFERROR(__xludf.DUMMYFUNCTION("""COMPUTED_VALUE"""),1.0)</f>
        <v>1</v>
      </c>
      <c r="K44" s="17" t="str">
        <f>IFERROR(__xludf.DUMMYFUNCTION("""COMPUTED_VALUE"""),"Permanent")</f>
        <v>Permanent</v>
      </c>
      <c r="L44" s="17" t="str">
        <f>IFERROR(__xludf.DUMMYFUNCTION("""COMPUTED_VALUE"""),"Wellington, New Zealand")</f>
        <v>Wellington, New Zealand</v>
      </c>
      <c r="M44" s="17">
        <f>IFERROR(__xludf.DUMMYFUNCTION("""COMPUTED_VALUE"""),2.9342465753424656)</f>
        <v>2.934246575</v>
      </c>
      <c r="N44" s="17" t="str">
        <f>IFERROR(__xludf.DUMMYFUNCTION("""COMPUTED_VALUE"""),"Full time")</f>
        <v>Full time</v>
      </c>
    </row>
    <row r="45" ht="14.25" customHeight="1">
      <c r="B45" s="17" t="str">
        <f>IFERROR(__xludf.DUMMYFUNCTION("""COMPUTED_VALUE"""),"TN04058")</f>
        <v>TN04058</v>
      </c>
      <c r="C45" s="17" t="str">
        <f>IFERROR(__xludf.DUMMYFUNCTION("""COMPUTED_VALUE"""),"Vasu")</f>
        <v>Vasu</v>
      </c>
      <c r="D45" s="17" t="str">
        <f>IFERROR(__xludf.DUMMYFUNCTION("""COMPUTED_VALUE"""),"Nandin")</f>
        <v>Nandin</v>
      </c>
      <c r="E45" s="17" t="str">
        <f>IFERROR(__xludf.DUMMYFUNCTION("""COMPUTED_VALUE"""),"Male")</f>
        <v>Male</v>
      </c>
      <c r="F45" s="17" t="str">
        <f>IFERROR(__xludf.DUMMYFUNCTION("""COMPUTED_VALUE"""),"Product Management")</f>
        <v>Product Management</v>
      </c>
      <c r="G45" s="18">
        <f>IFERROR(__xludf.DUMMYFUNCTION("""COMPUTED_VALUE"""),106775.14)</f>
        <v>106775.14</v>
      </c>
      <c r="H45" s="17" t="str">
        <f>IFERROR(__xludf.DUMMYFUNCTION("""COMPUTED_VALUE"""),"Above 100k")</f>
        <v>Above 100k</v>
      </c>
      <c r="I45" s="19">
        <f>IFERROR(__xludf.DUMMYFUNCTION("""COMPUTED_VALUE"""),43563.0)</f>
        <v>43563</v>
      </c>
      <c r="J45" s="17">
        <f>IFERROR(__xludf.DUMMYFUNCTION("""COMPUTED_VALUE"""),1.0)</f>
        <v>1</v>
      </c>
      <c r="K45" s="17" t="str">
        <f>IFERROR(__xludf.DUMMYFUNCTION("""COMPUTED_VALUE"""),"Fixed Term")</f>
        <v>Fixed Term</v>
      </c>
      <c r="L45" s="17" t="str">
        <f>IFERROR(__xludf.DUMMYFUNCTION("""COMPUTED_VALUE"""),"Hyderabad, India")</f>
        <v>Hyderabad, India</v>
      </c>
      <c r="M45" s="17">
        <f>IFERROR(__xludf.DUMMYFUNCTION("""COMPUTED_VALUE"""),5.208219178082191)</f>
        <v>5.208219178</v>
      </c>
      <c r="N45" s="17" t="str">
        <f>IFERROR(__xludf.DUMMYFUNCTION("""COMPUTED_VALUE"""),"Full time")</f>
        <v>Full time</v>
      </c>
    </row>
    <row r="46" ht="14.25" customHeight="1">
      <c r="B46" s="17" t="str">
        <f>IFERROR(__xludf.DUMMYFUNCTION("""COMPUTED_VALUE"""),"SQ04603")</f>
        <v>SQ04603</v>
      </c>
      <c r="C46" s="17" t="str">
        <f>IFERROR(__xludf.DUMMYFUNCTION("""COMPUTED_VALUE"""),"Natalee")</f>
        <v>Natalee</v>
      </c>
      <c r="D46" s="17" t="str">
        <f>IFERROR(__xludf.DUMMYFUNCTION("""COMPUTED_VALUE"""),"Craiker")</f>
        <v>Craiker</v>
      </c>
      <c r="E46" s="17" t="str">
        <f>IFERROR(__xludf.DUMMYFUNCTION("""COMPUTED_VALUE"""),"Male")</f>
        <v>Male</v>
      </c>
      <c r="F46" s="17" t="str">
        <f>IFERROR(__xludf.DUMMYFUNCTION("""COMPUTED_VALUE"""),"Product Management")</f>
        <v>Product Management</v>
      </c>
      <c r="G46" s="18">
        <f>IFERROR(__xludf.DUMMYFUNCTION("""COMPUTED_VALUE"""),111229.47)</f>
        <v>111229.47</v>
      </c>
      <c r="H46" s="17" t="str">
        <f>IFERROR(__xludf.DUMMYFUNCTION("""COMPUTED_VALUE"""),"Above 100k")</f>
        <v>Above 100k</v>
      </c>
      <c r="I46" s="19">
        <f>IFERROR(__xludf.DUMMYFUNCTION("""COMPUTED_VALUE"""),43402.0)</f>
        <v>43402</v>
      </c>
      <c r="J46" s="17">
        <f>IFERROR(__xludf.DUMMYFUNCTION("""COMPUTED_VALUE"""),1.0)</f>
        <v>1</v>
      </c>
      <c r="K46" s="17" t="str">
        <f>IFERROR(__xludf.DUMMYFUNCTION("""COMPUTED_VALUE"""),"Permanent")</f>
        <v>Permanent</v>
      </c>
      <c r="L46" s="17" t="str">
        <f>IFERROR(__xludf.DUMMYFUNCTION("""COMPUTED_VALUE"""),"Remote")</f>
        <v>Remote</v>
      </c>
      <c r="M46" s="17">
        <f>IFERROR(__xludf.DUMMYFUNCTION("""COMPUTED_VALUE"""),5.64931506849315)</f>
        <v>5.649315068</v>
      </c>
      <c r="N46" s="17" t="str">
        <f>IFERROR(__xludf.DUMMYFUNCTION("""COMPUTED_VALUE"""),"Full time")</f>
        <v>Full time</v>
      </c>
    </row>
    <row r="47" ht="14.25" customHeight="1">
      <c r="B47" s="17" t="str">
        <f>IFERROR(__xludf.DUMMYFUNCTION("""COMPUTED_VALUE"""),"VT04028")</f>
        <v>VT04028</v>
      </c>
      <c r="C47" s="17" t="str">
        <f>IFERROR(__xludf.DUMMYFUNCTION("""COMPUTED_VALUE"""),"Michale")</f>
        <v>Michale</v>
      </c>
      <c r="D47" s="17" t="str">
        <f>IFERROR(__xludf.DUMMYFUNCTION("""COMPUTED_VALUE"""),"Rolf")</f>
        <v>Rolf</v>
      </c>
      <c r="E47" s="17" t="str">
        <f>IFERROR(__xludf.DUMMYFUNCTION("""COMPUTED_VALUE"""),"Male")</f>
        <v>Male</v>
      </c>
      <c r="F47" s="17" t="str">
        <f>IFERROR(__xludf.DUMMYFUNCTION("""COMPUTED_VALUE"""),"Services")</f>
        <v>Services</v>
      </c>
      <c r="G47" s="18">
        <f>IFERROR(__xludf.DUMMYFUNCTION("""COMPUTED_VALUE"""),111815.49)</f>
        <v>111815.49</v>
      </c>
      <c r="H47" s="17" t="str">
        <f>IFERROR(__xludf.DUMMYFUNCTION("""COMPUTED_VALUE"""),"Above 100k")</f>
        <v>Above 100k</v>
      </c>
      <c r="I47" s="19">
        <f>IFERROR(__xludf.DUMMYFUNCTION("""COMPUTED_VALUE"""),43895.0)</f>
        <v>43895</v>
      </c>
      <c r="J47" s="17">
        <f>IFERROR(__xludf.DUMMYFUNCTION("""COMPUTED_VALUE"""),0.7)</f>
        <v>0.7</v>
      </c>
      <c r="K47" s="17" t="str">
        <f>IFERROR(__xludf.DUMMYFUNCTION("""COMPUTED_VALUE"""),"Temporary")</f>
        <v>Temporary</v>
      </c>
      <c r="L47" s="17" t="str">
        <f>IFERROR(__xludf.DUMMYFUNCTION("""COMPUTED_VALUE"""),"Remote")</f>
        <v>Remote</v>
      </c>
      <c r="M47" s="17">
        <f>IFERROR(__xludf.DUMMYFUNCTION("""COMPUTED_VALUE"""),4.298630136986302)</f>
        <v>4.298630137</v>
      </c>
      <c r="N47" s="17" t="str">
        <f>IFERROR(__xludf.DUMMYFUNCTION("""COMPUTED_VALUE"""),"Part time")</f>
        <v>Part time</v>
      </c>
    </row>
    <row r="48" ht="14.25" customHeight="1">
      <c r="B48" s="17" t="str">
        <f>IFERROR(__xludf.DUMMYFUNCTION("""COMPUTED_VALUE"""),"VT04028")</f>
        <v>VT04028</v>
      </c>
      <c r="C48" s="17" t="str">
        <f>IFERROR(__xludf.DUMMYFUNCTION("""COMPUTED_VALUE"""),"Michale")</f>
        <v>Michale</v>
      </c>
      <c r="D48" s="17" t="str">
        <f>IFERROR(__xludf.DUMMYFUNCTION("""COMPUTED_VALUE"""),"Rolf")</f>
        <v>Rolf</v>
      </c>
      <c r="E48" s="17" t="str">
        <f>IFERROR(__xludf.DUMMYFUNCTION("""COMPUTED_VALUE"""),"Male")</f>
        <v>Male</v>
      </c>
      <c r="F48" s="17" t="str">
        <f>IFERROR(__xludf.DUMMYFUNCTION("""COMPUTED_VALUE"""),"Services")</f>
        <v>Services</v>
      </c>
      <c r="G48" s="18">
        <f>IFERROR(__xludf.DUMMYFUNCTION("""COMPUTED_VALUE"""),111815.49)</f>
        <v>111815.49</v>
      </c>
      <c r="H48" s="17" t="str">
        <f>IFERROR(__xludf.DUMMYFUNCTION("""COMPUTED_VALUE"""),"Above 100k")</f>
        <v>Above 100k</v>
      </c>
      <c r="I48" s="19">
        <f>IFERROR(__xludf.DUMMYFUNCTION("""COMPUTED_VALUE"""),43895.0)</f>
        <v>43895</v>
      </c>
      <c r="J48" s="17">
        <f>IFERROR(__xludf.DUMMYFUNCTION("""COMPUTED_VALUE"""),0.7)</f>
        <v>0.7</v>
      </c>
      <c r="K48" s="17" t="str">
        <f>IFERROR(__xludf.DUMMYFUNCTION("""COMPUTED_VALUE"""),"Temporary")</f>
        <v>Temporary</v>
      </c>
      <c r="L48" s="17" t="str">
        <f>IFERROR(__xludf.DUMMYFUNCTION("""COMPUTED_VALUE"""),"Remote")</f>
        <v>Remote</v>
      </c>
      <c r="M48" s="17">
        <f>IFERROR(__xludf.DUMMYFUNCTION("""COMPUTED_VALUE"""),4.298630136986302)</f>
        <v>4.298630137</v>
      </c>
      <c r="N48" s="17" t="str">
        <f>IFERROR(__xludf.DUMMYFUNCTION("""COMPUTED_VALUE"""),"Part time")</f>
        <v>Part time</v>
      </c>
    </row>
    <row r="49" ht="14.25" customHeight="1">
      <c r="B49" s="17" t="str">
        <f>IFERROR(__xludf.DUMMYFUNCTION("""COMPUTED_VALUE"""),"SQ00022")</f>
        <v>SQ00022</v>
      </c>
      <c r="C49" s="17" t="str">
        <f>IFERROR(__xludf.DUMMYFUNCTION("""COMPUTED_VALUE"""),"Carlin")</f>
        <v>Carlin</v>
      </c>
      <c r="D49" s="17" t="str">
        <f>IFERROR(__xludf.DUMMYFUNCTION("""COMPUTED_VALUE"""),"Demke")</f>
        <v>Demke</v>
      </c>
      <c r="E49" s="17" t="str">
        <f>IFERROR(__xludf.DUMMYFUNCTION("""COMPUTED_VALUE"""),"Male")</f>
        <v>Male</v>
      </c>
      <c r="F49" s="17" t="str">
        <f>IFERROR(__xludf.DUMMYFUNCTION("""COMPUTED_VALUE"""),"Business Development")</f>
        <v>Business Development</v>
      </c>
      <c r="G49" s="18">
        <f>IFERROR(__xludf.DUMMYFUNCTION("""COMPUTED_VALUE"""),110042.37)</f>
        <v>110042.37</v>
      </c>
      <c r="H49" s="17" t="str">
        <f>IFERROR(__xludf.DUMMYFUNCTION("""COMPUTED_VALUE"""),"Above 100k")</f>
        <v>Above 100k</v>
      </c>
      <c r="I49" s="19">
        <f>IFERROR(__xludf.DUMMYFUNCTION("""COMPUTED_VALUE"""),43914.0)</f>
        <v>43914</v>
      </c>
      <c r="J49" s="17">
        <f>IFERROR(__xludf.DUMMYFUNCTION("""COMPUTED_VALUE"""),1.0)</f>
        <v>1</v>
      </c>
      <c r="K49" s="17" t="str">
        <f>IFERROR(__xludf.DUMMYFUNCTION("""COMPUTED_VALUE"""),"Permanent")</f>
        <v>Permanent</v>
      </c>
      <c r="L49" s="17" t="str">
        <f>IFERROR(__xludf.DUMMYFUNCTION("""COMPUTED_VALUE"""),"Columbus, USA")</f>
        <v>Columbus, USA</v>
      </c>
      <c r="M49" s="17">
        <f>IFERROR(__xludf.DUMMYFUNCTION("""COMPUTED_VALUE"""),4.2465753424657535)</f>
        <v>4.246575342</v>
      </c>
      <c r="N49" s="17" t="str">
        <f>IFERROR(__xludf.DUMMYFUNCTION("""COMPUTED_VALUE"""),"Full time")</f>
        <v>Full time</v>
      </c>
    </row>
    <row r="50" ht="14.25" customHeight="1">
      <c r="B50" s="17" t="str">
        <f>IFERROR(__xludf.DUMMYFUNCTION("""COMPUTED_VALUE"""),"SQ03116")</f>
        <v>SQ03116</v>
      </c>
      <c r="C50" s="17" t="str">
        <f>IFERROR(__xludf.DUMMYFUNCTION("""COMPUTED_VALUE"""),"Syd")</f>
        <v>Syd</v>
      </c>
      <c r="D50" s="17" t="str">
        <f>IFERROR(__xludf.DUMMYFUNCTION("""COMPUTED_VALUE"""),"Fearn")</f>
        <v>Fearn</v>
      </c>
      <c r="E50" s="17" t="str">
        <f>IFERROR(__xludf.DUMMYFUNCTION("""COMPUTED_VALUE"""),"Male")</f>
        <v>Male</v>
      </c>
      <c r="F50" s="17" t="str">
        <f>IFERROR(__xludf.DUMMYFUNCTION("""COMPUTED_VALUE"""),"Engineering")</f>
        <v>Engineering</v>
      </c>
      <c r="G50" s="18">
        <f>IFERROR(__xludf.DUMMYFUNCTION("""COMPUTED_VALUE"""),108872.77)</f>
        <v>108872.77</v>
      </c>
      <c r="H50" s="17" t="str">
        <f>IFERROR(__xludf.DUMMYFUNCTION("""COMPUTED_VALUE"""),"Above 100k")</f>
        <v>Above 100k</v>
      </c>
      <c r="I50" s="19">
        <f>IFERROR(__xludf.DUMMYFUNCTION("""COMPUTED_VALUE"""),43521.0)</f>
        <v>43521</v>
      </c>
      <c r="J50" s="17">
        <f>IFERROR(__xludf.DUMMYFUNCTION("""COMPUTED_VALUE"""),1.0)</f>
        <v>1</v>
      </c>
      <c r="K50" s="17" t="str">
        <f>IFERROR(__xludf.DUMMYFUNCTION("""COMPUTED_VALUE"""),"Permanent")</f>
        <v>Permanent</v>
      </c>
      <c r="L50" s="17" t="str">
        <f>IFERROR(__xludf.DUMMYFUNCTION("""COMPUTED_VALUE"""),"Remote")</f>
        <v>Remote</v>
      </c>
      <c r="M50" s="17">
        <f>IFERROR(__xludf.DUMMYFUNCTION("""COMPUTED_VALUE"""),5.323287671232877)</f>
        <v>5.323287671</v>
      </c>
      <c r="N50" s="17" t="str">
        <f>IFERROR(__xludf.DUMMYFUNCTION("""COMPUTED_VALUE"""),"Full time")</f>
        <v>Full time</v>
      </c>
    </row>
    <row r="51" ht="14.25" customHeight="1">
      <c r="B51" s="17" t="str">
        <f>IFERROR(__xludf.DUMMYFUNCTION("""COMPUTED_VALUE"""),"VT04552")</f>
        <v>VT04552</v>
      </c>
      <c r="C51" s="17" t="str">
        <f>IFERROR(__xludf.DUMMYFUNCTION("""COMPUTED_VALUE"""),"Theresita")</f>
        <v>Theresita</v>
      </c>
      <c r="D51" s="17" t="str">
        <f>IFERROR(__xludf.DUMMYFUNCTION("""COMPUTED_VALUE"""),"Chasmer")</f>
        <v>Chasmer</v>
      </c>
      <c r="E51" s="17" t="str">
        <f>IFERROR(__xludf.DUMMYFUNCTION("""COMPUTED_VALUE"""),"Female")</f>
        <v>Female</v>
      </c>
      <c r="F51" s="17" t="str">
        <f>IFERROR(__xludf.DUMMYFUNCTION("""COMPUTED_VALUE"""),"Product Management")</f>
        <v>Product Management</v>
      </c>
      <c r="G51" s="18">
        <f>IFERROR(__xludf.DUMMYFUNCTION("""COMPUTED_VALUE"""),106665.67)</f>
        <v>106665.67</v>
      </c>
      <c r="H51" s="17" t="str">
        <f>IFERROR(__xludf.DUMMYFUNCTION("""COMPUTED_VALUE"""),"Above 100k")</f>
        <v>Above 100k</v>
      </c>
      <c r="I51" s="19">
        <f>IFERROR(__xludf.DUMMYFUNCTION("""COMPUTED_VALUE"""),43311.0)</f>
        <v>43311</v>
      </c>
      <c r="J51" s="17">
        <f>IFERROR(__xludf.DUMMYFUNCTION("""COMPUTED_VALUE"""),1.0)</f>
        <v>1</v>
      </c>
      <c r="K51" s="17" t="str">
        <f>IFERROR(__xludf.DUMMYFUNCTION("""COMPUTED_VALUE"""),"Temporary")</f>
        <v>Temporary</v>
      </c>
      <c r="L51" s="17" t="str">
        <f>IFERROR(__xludf.DUMMYFUNCTION("""COMPUTED_VALUE"""),"Columbus, USA")</f>
        <v>Columbus, USA</v>
      </c>
      <c r="M51" s="17">
        <f>IFERROR(__xludf.DUMMYFUNCTION("""COMPUTED_VALUE"""),5.898630136986301)</f>
        <v>5.898630137</v>
      </c>
      <c r="N51" s="17" t="str">
        <f>IFERROR(__xludf.DUMMYFUNCTION("""COMPUTED_VALUE"""),"Full time")</f>
        <v>Full time</v>
      </c>
    </row>
    <row r="52" ht="14.25" customHeight="1">
      <c r="B52" s="17" t="str">
        <f>IFERROR(__xludf.DUMMYFUNCTION("""COMPUTED_VALUE"""),"SQ04665")</f>
        <v>SQ04665</v>
      </c>
      <c r="C52" s="17" t="str">
        <f>IFERROR(__xludf.DUMMYFUNCTION("""COMPUTED_VALUE"""),"Collin")</f>
        <v>Collin</v>
      </c>
      <c r="D52" s="17" t="str">
        <f>IFERROR(__xludf.DUMMYFUNCTION("""COMPUTED_VALUE"""),"Jagson")</f>
        <v>Jagson</v>
      </c>
      <c r="E52" s="17" t="str">
        <f>IFERROR(__xludf.DUMMYFUNCTION("""COMPUTED_VALUE"""),"Male")</f>
        <v>Male</v>
      </c>
      <c r="F52" s="17" t="str">
        <f>IFERROR(__xludf.DUMMYFUNCTION("""COMPUTED_VALUE"""),"Services")</f>
        <v>Services</v>
      </c>
      <c r="G52" s="18">
        <f>IFERROR(__xludf.DUMMYFUNCTION("""COMPUTED_VALUE"""),100424.23)</f>
        <v>100424.23</v>
      </c>
      <c r="H52" s="17" t="str">
        <f>IFERROR(__xludf.DUMMYFUNCTION("""COMPUTED_VALUE"""),"Above 100k")</f>
        <v>Above 100k</v>
      </c>
      <c r="I52" s="19">
        <f>IFERROR(__xludf.DUMMYFUNCTION("""COMPUTED_VALUE"""),43801.0)</f>
        <v>43801</v>
      </c>
      <c r="J52" s="17">
        <f>IFERROR(__xludf.DUMMYFUNCTION("""COMPUTED_VALUE"""),1.0)</f>
        <v>1</v>
      </c>
      <c r="K52" s="17" t="str">
        <f>IFERROR(__xludf.DUMMYFUNCTION("""COMPUTED_VALUE"""),"Permanent")</f>
        <v>Permanent</v>
      </c>
      <c r="L52" s="17" t="str">
        <f>IFERROR(__xludf.DUMMYFUNCTION("""COMPUTED_VALUE"""),"Auckland, New Zealand")</f>
        <v>Auckland, New Zealand</v>
      </c>
      <c r="M52" s="17">
        <f>IFERROR(__xludf.DUMMYFUNCTION("""COMPUTED_VALUE"""),4.556164383561644)</f>
        <v>4.556164384</v>
      </c>
      <c r="N52" s="17" t="str">
        <f>IFERROR(__xludf.DUMMYFUNCTION("""COMPUTED_VALUE"""),"Full time")</f>
        <v>Full time</v>
      </c>
    </row>
    <row r="53" ht="14.25" customHeight="1">
      <c r="B53" s="17" t="str">
        <f>IFERROR(__xludf.DUMMYFUNCTION("""COMPUTED_VALUE"""),"VT01893")</f>
        <v>VT01893</v>
      </c>
      <c r="C53" s="17" t="str">
        <f>IFERROR(__xludf.DUMMYFUNCTION("""COMPUTED_VALUE"""),"Lindy")</f>
        <v>Lindy</v>
      </c>
      <c r="D53" s="17" t="str">
        <f>IFERROR(__xludf.DUMMYFUNCTION("""COMPUTED_VALUE"""),"Guillet")</f>
        <v>Guillet</v>
      </c>
      <c r="E53" s="17" t="str">
        <f>IFERROR(__xludf.DUMMYFUNCTION("""COMPUTED_VALUE"""),"Male")</f>
        <v>Male</v>
      </c>
      <c r="F53" s="17" t="str">
        <f>IFERROR(__xludf.DUMMYFUNCTION("""COMPUTED_VALUE"""),"Training")</f>
        <v>Training</v>
      </c>
      <c r="G53" s="18">
        <f>IFERROR(__xludf.DUMMYFUNCTION("""COMPUTED_VALUE"""),112778.28)</f>
        <v>112778.28</v>
      </c>
      <c r="H53" s="17" t="str">
        <f>IFERROR(__xludf.DUMMYFUNCTION("""COMPUTED_VALUE"""),"Above 100k")</f>
        <v>Above 100k</v>
      </c>
      <c r="I53" s="19">
        <f>IFERROR(__xludf.DUMMYFUNCTION("""COMPUTED_VALUE"""),43250.0)</f>
        <v>43250</v>
      </c>
      <c r="J53" s="17">
        <f>IFERROR(__xludf.DUMMYFUNCTION("""COMPUTED_VALUE"""),1.0)</f>
        <v>1</v>
      </c>
      <c r="K53" s="17" t="str">
        <f>IFERROR(__xludf.DUMMYFUNCTION("""COMPUTED_VALUE"""),"Fixed Term")</f>
        <v>Fixed Term</v>
      </c>
      <c r="L53" s="17" t="str">
        <f>IFERROR(__xludf.DUMMYFUNCTION("""COMPUTED_VALUE"""),"Remote")</f>
        <v>Remote</v>
      </c>
      <c r="M53" s="17">
        <f>IFERROR(__xludf.DUMMYFUNCTION("""COMPUTED_VALUE"""),6.065753424657534)</f>
        <v>6.065753425</v>
      </c>
      <c r="N53" s="17" t="str">
        <f>IFERROR(__xludf.DUMMYFUNCTION("""COMPUTED_VALUE"""),"Full time")</f>
        <v>Full time</v>
      </c>
    </row>
    <row r="54" ht="14.25" customHeight="1">
      <c r="B54" s="17" t="str">
        <f>IFERROR(__xludf.DUMMYFUNCTION("""COMPUTED_VALUE"""),"PR03886")</f>
        <v>PR03886</v>
      </c>
      <c r="C54" s="17" t="str">
        <f>IFERROR(__xludf.DUMMYFUNCTION("""COMPUTED_VALUE"""),"Edd")</f>
        <v>Edd</v>
      </c>
      <c r="D54" s="17" t="str">
        <f>IFERROR(__xludf.DUMMYFUNCTION("""COMPUTED_VALUE"""),"MacKnockiter")</f>
        <v>MacKnockiter</v>
      </c>
      <c r="E54" s="17" t="str">
        <f>IFERROR(__xludf.DUMMYFUNCTION("""COMPUTED_VALUE"""),"Male")</f>
        <v>Male</v>
      </c>
      <c r="F54" s="17" t="str">
        <f>IFERROR(__xludf.DUMMYFUNCTION("""COMPUTED_VALUE"""),"Accounting")</f>
        <v>Accounting</v>
      </c>
      <c r="G54" s="18">
        <f>IFERROR(__xludf.DUMMYFUNCTION("""COMPUTED_VALUE"""),119022.49)</f>
        <v>119022.49</v>
      </c>
      <c r="H54" s="17" t="str">
        <f>IFERROR(__xludf.DUMMYFUNCTION("""COMPUTED_VALUE"""),"Above 100k")</f>
        <v>Above 100k</v>
      </c>
      <c r="I54" s="19">
        <f>IFERROR(__xludf.DUMMYFUNCTION("""COMPUTED_VALUE"""),44431.0)</f>
        <v>44431</v>
      </c>
      <c r="J54" s="17">
        <f>IFERROR(__xludf.DUMMYFUNCTION("""COMPUTED_VALUE"""),1.0)</f>
        <v>1</v>
      </c>
      <c r="K54" s="17" t="str">
        <f>IFERROR(__xludf.DUMMYFUNCTION("""COMPUTED_VALUE"""),"Permanent")</f>
        <v>Permanent</v>
      </c>
      <c r="L54" s="17" t="str">
        <f>IFERROR(__xludf.DUMMYFUNCTION("""COMPUTED_VALUE"""),"Auckland, New Zealand")</f>
        <v>Auckland, New Zealand</v>
      </c>
      <c r="M54" s="17">
        <f>IFERROR(__xludf.DUMMYFUNCTION("""COMPUTED_VALUE"""),2.83013698630137)</f>
        <v>2.830136986</v>
      </c>
      <c r="N54" s="17" t="str">
        <f>IFERROR(__xludf.DUMMYFUNCTION("""COMPUTED_VALUE"""),"Full time")</f>
        <v>Full time</v>
      </c>
    </row>
    <row r="55" ht="14.25" customHeight="1">
      <c r="B55" s="17" t="str">
        <f>IFERROR(__xludf.DUMMYFUNCTION("""COMPUTED_VALUE"""),"PR00746")</f>
        <v>PR00746</v>
      </c>
      <c r="C55" s="17" t="str">
        <f>IFERROR(__xludf.DUMMYFUNCTION("""COMPUTED_VALUE"""),"Hogan")</f>
        <v>Hogan</v>
      </c>
      <c r="D55" s="17" t="str">
        <f>IFERROR(__xludf.DUMMYFUNCTION("""COMPUTED_VALUE"""),"Iles")</f>
        <v>Iles</v>
      </c>
      <c r="E55" s="17" t="str">
        <f>IFERROR(__xludf.DUMMYFUNCTION("""COMPUTED_VALUE"""),"Female")</f>
        <v>Female</v>
      </c>
      <c r="F55" s="17" t="str">
        <f>IFERROR(__xludf.DUMMYFUNCTION("""COMPUTED_VALUE"""),"Accounting")</f>
        <v>Accounting</v>
      </c>
      <c r="G55" s="18">
        <f>IFERROR(__xludf.DUMMYFUNCTION("""COMPUTED_VALUE"""),114177.23)</f>
        <v>114177.23</v>
      </c>
      <c r="H55" s="17" t="str">
        <f>IFERROR(__xludf.DUMMYFUNCTION("""COMPUTED_VALUE"""),"Above 100k")</f>
        <v>Above 100k</v>
      </c>
      <c r="I55" s="19">
        <f>IFERROR(__xludf.DUMMYFUNCTION("""COMPUTED_VALUE"""),43908.0)</f>
        <v>43908</v>
      </c>
      <c r="J55" s="17">
        <f>IFERROR(__xludf.DUMMYFUNCTION("""COMPUTED_VALUE"""),1.0)</f>
        <v>1</v>
      </c>
      <c r="K55" s="17" t="str">
        <f>IFERROR(__xludf.DUMMYFUNCTION("""COMPUTED_VALUE"""),"Permanent")</f>
        <v>Permanent</v>
      </c>
      <c r="L55" s="17" t="str">
        <f>IFERROR(__xludf.DUMMYFUNCTION("""COMPUTED_VALUE"""),"Wellington, New Zealand")</f>
        <v>Wellington, New Zealand</v>
      </c>
      <c r="M55" s="17">
        <f>IFERROR(__xludf.DUMMYFUNCTION("""COMPUTED_VALUE"""),4.263013698630137)</f>
        <v>4.263013699</v>
      </c>
      <c r="N55" s="17" t="str">
        <f>IFERROR(__xludf.DUMMYFUNCTION("""COMPUTED_VALUE"""),"Full time")</f>
        <v>Full time</v>
      </c>
    </row>
    <row r="56" ht="14.25" customHeight="1">
      <c r="B56" s="17" t="str">
        <f>IFERROR(__xludf.DUMMYFUNCTION("""COMPUTED_VALUE"""),"SQ03387")</f>
        <v>SQ03387</v>
      </c>
      <c r="C56" s="17" t="str">
        <f>IFERROR(__xludf.DUMMYFUNCTION("""COMPUTED_VALUE"""),"Robinia")</f>
        <v>Robinia</v>
      </c>
      <c r="D56" s="17" t="str">
        <f>IFERROR(__xludf.DUMMYFUNCTION("""COMPUTED_VALUE"""),"Scholling")</f>
        <v>Scholling</v>
      </c>
      <c r="E56" s="17" t="str">
        <f>IFERROR(__xludf.DUMMYFUNCTION("""COMPUTED_VALUE"""),"Female")</f>
        <v>Female</v>
      </c>
      <c r="F56" s="17" t="str">
        <f>IFERROR(__xludf.DUMMYFUNCTION("""COMPUTED_VALUE"""),"Human Resources")</f>
        <v>Human Resources</v>
      </c>
      <c r="G56" s="18">
        <f>IFERROR(__xludf.DUMMYFUNCTION("""COMPUTED_VALUE"""),100731.95)</f>
        <v>100731.95</v>
      </c>
      <c r="H56" s="17" t="str">
        <f>IFERROR(__xludf.DUMMYFUNCTION("""COMPUTED_VALUE"""),"Above 100k")</f>
        <v>Above 100k</v>
      </c>
      <c r="I56" s="19">
        <f>IFERROR(__xludf.DUMMYFUNCTION("""COMPUTED_VALUE"""),43936.0)</f>
        <v>43936</v>
      </c>
      <c r="J56" s="17">
        <f>IFERROR(__xludf.DUMMYFUNCTION("""COMPUTED_VALUE"""),1.0)</f>
        <v>1</v>
      </c>
      <c r="K56" s="17" t="str">
        <f>IFERROR(__xludf.DUMMYFUNCTION("""COMPUTED_VALUE"""),"Permanent")</f>
        <v>Permanent</v>
      </c>
      <c r="L56" s="17" t="str">
        <f>IFERROR(__xludf.DUMMYFUNCTION("""COMPUTED_VALUE"""),"Auckland, New Zealand")</f>
        <v>Auckland, New Zealand</v>
      </c>
      <c r="M56" s="17">
        <f>IFERROR(__xludf.DUMMYFUNCTION("""COMPUTED_VALUE"""),4.186301369863013)</f>
        <v>4.18630137</v>
      </c>
      <c r="N56" s="17" t="str">
        <f>IFERROR(__xludf.DUMMYFUNCTION("""COMPUTED_VALUE"""),"Full time")</f>
        <v>Full time</v>
      </c>
    </row>
    <row r="57" ht="14.25" customHeight="1">
      <c r="B57" s="17" t="str">
        <f>IFERROR(__xludf.DUMMYFUNCTION("""COMPUTED_VALUE"""),"SQ02703")</f>
        <v>SQ02703</v>
      </c>
      <c r="C57" s="17" t="str">
        <f>IFERROR(__xludf.DUMMYFUNCTION("""COMPUTED_VALUE"""),"Deepit")</f>
        <v>Deepit</v>
      </c>
      <c r="D57" s="17" t="str">
        <f>IFERROR(__xludf.DUMMYFUNCTION("""COMPUTED_VALUE"""),"Ranjana")</f>
        <v>Ranjana</v>
      </c>
      <c r="E57" s="17" t="str">
        <f>IFERROR(__xludf.DUMMYFUNCTION("""COMPUTED_VALUE"""),"Female")</f>
        <v>Female</v>
      </c>
      <c r="F57" s="17" t="str">
        <f>IFERROR(__xludf.DUMMYFUNCTION("""COMPUTED_VALUE"""),"Marketing")</f>
        <v>Marketing</v>
      </c>
      <c r="G57" s="18">
        <f>IFERROR(__xludf.DUMMYFUNCTION("""COMPUTED_VALUE"""),104903.79)</f>
        <v>104903.79</v>
      </c>
      <c r="H57" s="17" t="str">
        <f>IFERROR(__xludf.DUMMYFUNCTION("""COMPUTED_VALUE"""),"Above 100k")</f>
        <v>Above 100k</v>
      </c>
      <c r="I57" s="19">
        <f>IFERROR(__xludf.DUMMYFUNCTION("""COMPUTED_VALUE"""),43649.0)</f>
        <v>43649</v>
      </c>
      <c r="J57" s="17">
        <f>IFERROR(__xludf.DUMMYFUNCTION("""COMPUTED_VALUE"""),1.0)</f>
        <v>1</v>
      </c>
      <c r="K57" s="17" t="str">
        <f>IFERROR(__xludf.DUMMYFUNCTION("""COMPUTED_VALUE"""),"Permanent")</f>
        <v>Permanent</v>
      </c>
      <c r="L57" s="17" t="str">
        <f>IFERROR(__xludf.DUMMYFUNCTION("""COMPUTED_VALUE"""),"Chennai, India")</f>
        <v>Chennai, India</v>
      </c>
      <c r="M57" s="17">
        <f>IFERROR(__xludf.DUMMYFUNCTION("""COMPUTED_VALUE"""),4.972602739726027)</f>
        <v>4.97260274</v>
      </c>
      <c r="N57" s="17" t="str">
        <f>IFERROR(__xludf.DUMMYFUNCTION("""COMPUTED_VALUE"""),"Full time")</f>
        <v>Full time</v>
      </c>
    </row>
    <row r="58" ht="14.25" customHeight="1">
      <c r="B58" s="17" t="str">
        <f>IFERROR(__xludf.DUMMYFUNCTION("""COMPUTED_VALUE"""),"SQ03733")</f>
        <v>SQ03733</v>
      </c>
      <c r="C58" s="17" t="str">
        <f>IFERROR(__xludf.DUMMYFUNCTION("""COMPUTED_VALUE"""),"Revkah")</f>
        <v>Revkah</v>
      </c>
      <c r="D58" s="17" t="str">
        <f>IFERROR(__xludf.DUMMYFUNCTION("""COMPUTED_VALUE"""),"Antonacci")</f>
        <v>Antonacci</v>
      </c>
      <c r="E58" s="17" t="str">
        <f>IFERROR(__xludf.DUMMYFUNCTION("""COMPUTED_VALUE"""),"Male")</f>
        <v>Male</v>
      </c>
      <c r="F58" s="17" t="str">
        <f>IFERROR(__xludf.DUMMYFUNCTION("""COMPUTED_VALUE"""),"Engineering")</f>
        <v>Engineering</v>
      </c>
      <c r="G58" s="18">
        <f>IFERROR(__xludf.DUMMYFUNCTION("""COMPUTED_VALUE"""),109143.17)</f>
        <v>109143.17</v>
      </c>
      <c r="H58" s="17" t="str">
        <f>IFERROR(__xludf.DUMMYFUNCTION("""COMPUTED_VALUE"""),"Above 100k")</f>
        <v>Above 100k</v>
      </c>
      <c r="I58" s="19">
        <f>IFERROR(__xludf.DUMMYFUNCTION("""COMPUTED_VALUE"""),43945.0)</f>
        <v>43945</v>
      </c>
      <c r="J58" s="17">
        <f>IFERROR(__xludf.DUMMYFUNCTION("""COMPUTED_VALUE"""),1.0)</f>
        <v>1</v>
      </c>
      <c r="K58" s="17" t="str">
        <f>IFERROR(__xludf.DUMMYFUNCTION("""COMPUTED_VALUE"""),"Permanent")</f>
        <v>Permanent</v>
      </c>
      <c r="L58" s="17" t="str">
        <f>IFERROR(__xludf.DUMMYFUNCTION("""COMPUTED_VALUE"""),"Wellington, New Zealand")</f>
        <v>Wellington, New Zealand</v>
      </c>
      <c r="M58" s="17">
        <f>IFERROR(__xludf.DUMMYFUNCTION("""COMPUTED_VALUE"""),4.161643835616438)</f>
        <v>4.161643836</v>
      </c>
      <c r="N58" s="17" t="str">
        <f>IFERROR(__xludf.DUMMYFUNCTION("""COMPUTED_VALUE"""),"Full time")</f>
        <v>Full time</v>
      </c>
    </row>
    <row r="59" ht="14.25" customHeight="1">
      <c r="B59" s="17" t="str">
        <f>IFERROR(__xludf.DUMMYFUNCTION("""COMPUTED_VALUE"""),"TN00579")</f>
        <v>TN00579</v>
      </c>
      <c r="C59" s="17" t="str">
        <f>IFERROR(__xludf.DUMMYFUNCTION("""COMPUTED_VALUE"""),"Rafaelita")</f>
        <v>Rafaelita</v>
      </c>
      <c r="D59" s="17" t="str">
        <f>IFERROR(__xludf.DUMMYFUNCTION("""COMPUTED_VALUE"""),"Blaksland")</f>
        <v>Blaksland</v>
      </c>
      <c r="E59" s="17" t="str">
        <f>IFERROR(__xludf.DUMMYFUNCTION("""COMPUTED_VALUE"""),"Female")</f>
        <v>Female</v>
      </c>
      <c r="F59" s="17" t="str">
        <f>IFERROR(__xludf.DUMMYFUNCTION("""COMPUTED_VALUE"""),"Services")</f>
        <v>Services</v>
      </c>
      <c r="G59" s="18">
        <f>IFERROR(__xludf.DUMMYFUNCTION("""COMPUTED_VALUE"""),109163.39)</f>
        <v>109163.39</v>
      </c>
      <c r="H59" s="17" t="str">
        <f>IFERROR(__xludf.DUMMYFUNCTION("""COMPUTED_VALUE"""),"Above 100k")</f>
        <v>Above 100k</v>
      </c>
      <c r="I59" s="19">
        <f>IFERROR(__xludf.DUMMYFUNCTION("""COMPUTED_VALUE"""),44019.0)</f>
        <v>44019</v>
      </c>
      <c r="J59" s="17">
        <f>IFERROR(__xludf.DUMMYFUNCTION("""COMPUTED_VALUE"""),0.8)</f>
        <v>0.8</v>
      </c>
      <c r="K59" s="17" t="str">
        <f>IFERROR(__xludf.DUMMYFUNCTION("""COMPUTED_VALUE"""),"Permanent")</f>
        <v>Permanent</v>
      </c>
      <c r="L59" s="17" t="str">
        <f>IFERROR(__xludf.DUMMYFUNCTION("""COMPUTED_VALUE"""),"Seattle, USA")</f>
        <v>Seattle, USA</v>
      </c>
      <c r="M59" s="17">
        <f>IFERROR(__xludf.DUMMYFUNCTION("""COMPUTED_VALUE"""),3.958904109589041)</f>
        <v>3.95890411</v>
      </c>
      <c r="N59" s="17" t="str">
        <f>IFERROR(__xludf.DUMMYFUNCTION("""COMPUTED_VALUE"""),"Part time")</f>
        <v>Part time</v>
      </c>
    </row>
    <row r="60" ht="14.25" customHeight="1">
      <c r="B60" s="17" t="str">
        <f>IFERROR(__xludf.DUMMYFUNCTION("""COMPUTED_VALUE"""),"SQ02174")</f>
        <v>SQ02174</v>
      </c>
      <c r="C60" s="17" t="str">
        <f>IFERROR(__xludf.DUMMYFUNCTION("""COMPUTED_VALUE"""),"Sidoney")</f>
        <v>Sidoney</v>
      </c>
      <c r="D60" s="17" t="str">
        <f>IFERROR(__xludf.DUMMYFUNCTION("""COMPUTED_VALUE"""),"Yitzhok")</f>
        <v>Yitzhok</v>
      </c>
      <c r="E60" s="17" t="str">
        <f>IFERROR(__xludf.DUMMYFUNCTION("""COMPUTED_VALUE"""),"Female")</f>
        <v>Female</v>
      </c>
      <c r="F60" s="17" t="str">
        <f>IFERROR(__xludf.DUMMYFUNCTION("""COMPUTED_VALUE"""),"Engineering")</f>
        <v>Engineering</v>
      </c>
      <c r="G60" s="18">
        <f>IFERROR(__xludf.DUMMYFUNCTION("""COMPUTED_VALUE"""),118442.54)</f>
        <v>118442.54</v>
      </c>
      <c r="H60" s="17" t="str">
        <f>IFERROR(__xludf.DUMMYFUNCTION("""COMPUTED_VALUE"""),"Above 100k")</f>
        <v>Above 100k</v>
      </c>
      <c r="I60" s="19">
        <f>IFERROR(__xludf.DUMMYFUNCTION("""COMPUTED_VALUE"""),44193.0)</f>
        <v>44193</v>
      </c>
      <c r="J60" s="17">
        <f>IFERROR(__xludf.DUMMYFUNCTION("""COMPUTED_VALUE"""),1.0)</f>
        <v>1</v>
      </c>
      <c r="K60" s="17" t="str">
        <f>IFERROR(__xludf.DUMMYFUNCTION("""COMPUTED_VALUE"""),"Permanent")</f>
        <v>Permanent</v>
      </c>
      <c r="L60" s="17" t="str">
        <f>IFERROR(__xludf.DUMMYFUNCTION("""COMPUTED_VALUE"""),"Auckland, New Zealand")</f>
        <v>Auckland, New Zealand</v>
      </c>
      <c r="M60" s="17">
        <f>IFERROR(__xludf.DUMMYFUNCTION("""COMPUTED_VALUE"""),3.4821917808219176)</f>
        <v>3.482191781</v>
      </c>
      <c r="N60" s="17" t="str">
        <f>IFERROR(__xludf.DUMMYFUNCTION("""COMPUTED_VALUE"""),"Full time")</f>
        <v>Full time</v>
      </c>
    </row>
    <row r="61" ht="14.25" customHeight="1">
      <c r="B61" s="17" t="str">
        <f>IFERROR(__xludf.DUMMYFUNCTION("""COMPUTED_VALUE"""),"VT01762")</f>
        <v>VT01762</v>
      </c>
      <c r="C61" s="17" t="str">
        <f>IFERROR(__xludf.DUMMYFUNCTION("""COMPUTED_VALUE"""),"Geena")</f>
        <v>Geena</v>
      </c>
      <c r="D61" s="17" t="str">
        <f>IFERROR(__xludf.DUMMYFUNCTION("""COMPUTED_VALUE"""),"Raghavanpillai")</f>
        <v>Raghavanpillai</v>
      </c>
      <c r="E61" s="17" t="str">
        <f>IFERROR(__xludf.DUMMYFUNCTION("""COMPUTED_VALUE"""),"Male")</f>
        <v>Male</v>
      </c>
      <c r="F61" s="17" t="str">
        <f>IFERROR(__xludf.DUMMYFUNCTION("""COMPUTED_VALUE"""),"Accounting")</f>
        <v>Accounting</v>
      </c>
      <c r="G61" s="18">
        <f>IFERROR(__xludf.DUMMYFUNCTION("""COMPUTED_VALUE"""),102515.81)</f>
        <v>102515.81</v>
      </c>
      <c r="H61" s="17" t="str">
        <f>IFERROR(__xludf.DUMMYFUNCTION("""COMPUTED_VALUE"""),"Above 100k")</f>
        <v>Above 100k</v>
      </c>
      <c r="I61" s="19">
        <f>IFERROR(__xludf.DUMMYFUNCTION("""COMPUTED_VALUE"""),43902.0)</f>
        <v>43902</v>
      </c>
      <c r="J61" s="17">
        <f>IFERROR(__xludf.DUMMYFUNCTION("""COMPUTED_VALUE"""),1.0)</f>
        <v>1</v>
      </c>
      <c r="K61" s="17" t="str">
        <f>IFERROR(__xludf.DUMMYFUNCTION("""COMPUTED_VALUE"""),"Fixed Term")</f>
        <v>Fixed Term</v>
      </c>
      <c r="L61" s="17" t="str">
        <f>IFERROR(__xludf.DUMMYFUNCTION("""COMPUTED_VALUE"""),"Chennai, India")</f>
        <v>Chennai, India</v>
      </c>
      <c r="M61" s="17">
        <f>IFERROR(__xludf.DUMMYFUNCTION("""COMPUTED_VALUE"""),4.279452054794521)</f>
        <v>4.279452055</v>
      </c>
      <c r="N61" s="17" t="str">
        <f>IFERROR(__xludf.DUMMYFUNCTION("""COMPUTED_VALUE"""),"Full time")</f>
        <v>Full time</v>
      </c>
    </row>
    <row r="62" ht="14.25" customHeight="1">
      <c r="B62" s="17" t="str">
        <f>IFERROR(__xludf.DUMMYFUNCTION("""COMPUTED_VALUE"""),"VT04093")</f>
        <v>VT04093</v>
      </c>
      <c r="C62" s="17" t="str">
        <f>IFERROR(__xludf.DUMMYFUNCTION("""COMPUTED_VALUE"""),"Baruna")</f>
        <v>Baruna</v>
      </c>
      <c r="D62" s="17" t="str">
        <f>IFERROR(__xludf.DUMMYFUNCTION("""COMPUTED_VALUE"""),"Ogale")</f>
        <v>Ogale</v>
      </c>
      <c r="E62" s="17" t="str">
        <f>IFERROR(__xludf.DUMMYFUNCTION("""COMPUTED_VALUE"""),"Female")</f>
        <v>Female</v>
      </c>
      <c r="F62" s="17" t="str">
        <f>IFERROR(__xludf.DUMMYFUNCTION("""COMPUTED_VALUE"""),"Training")</f>
        <v>Training</v>
      </c>
      <c r="G62" s="18">
        <f>IFERROR(__xludf.DUMMYFUNCTION("""COMPUTED_VALUE"""),116767.63)</f>
        <v>116767.63</v>
      </c>
      <c r="H62" s="17" t="str">
        <f>IFERROR(__xludf.DUMMYFUNCTION("""COMPUTED_VALUE"""),"Above 100k")</f>
        <v>Above 100k</v>
      </c>
      <c r="I62" s="19">
        <f>IFERROR(__xludf.DUMMYFUNCTION("""COMPUTED_VALUE"""),43949.0)</f>
        <v>43949</v>
      </c>
      <c r="J62" s="17">
        <f>IFERROR(__xludf.DUMMYFUNCTION("""COMPUTED_VALUE"""),0.4)</f>
        <v>0.4</v>
      </c>
      <c r="K62" s="17" t="str">
        <f>IFERROR(__xludf.DUMMYFUNCTION("""COMPUTED_VALUE"""),"Temporary")</f>
        <v>Temporary</v>
      </c>
      <c r="L62" s="17" t="str">
        <f>IFERROR(__xludf.DUMMYFUNCTION("""COMPUTED_VALUE"""),"Chennai, India")</f>
        <v>Chennai, India</v>
      </c>
      <c r="M62" s="17">
        <f>IFERROR(__xludf.DUMMYFUNCTION("""COMPUTED_VALUE"""),4.1506849315068495)</f>
        <v>4.150684932</v>
      </c>
      <c r="N62" s="17" t="str">
        <f>IFERROR(__xludf.DUMMYFUNCTION("""COMPUTED_VALUE"""),"Part time")</f>
        <v>Part time</v>
      </c>
    </row>
    <row r="63" ht="14.25" customHeight="1">
      <c r="B63" s="17" t="str">
        <f>IFERROR(__xludf.DUMMYFUNCTION("""COMPUTED_VALUE"""),"SQ03491")</f>
        <v>SQ03491</v>
      </c>
      <c r="C63" s="17" t="str">
        <f>IFERROR(__xludf.DUMMYFUNCTION("""COMPUTED_VALUE"""),"Freda")</f>
        <v>Freda</v>
      </c>
      <c r="D63" s="17" t="str">
        <f>IFERROR(__xludf.DUMMYFUNCTION("""COMPUTED_VALUE"""),"Legan")</f>
        <v>Legan</v>
      </c>
      <c r="E63" s="17" t="str">
        <f>IFERROR(__xludf.DUMMYFUNCTION("""COMPUTED_VALUE"""),"Female")</f>
        <v>Female</v>
      </c>
      <c r="F63" s="17" t="str">
        <f>IFERROR(__xludf.DUMMYFUNCTION("""COMPUTED_VALUE"""),"Sales")</f>
        <v>Sales</v>
      </c>
      <c r="G63" s="18">
        <f>IFERROR(__xludf.DUMMYFUNCTION("""COMPUTED_VALUE"""),102129.37)</f>
        <v>102129.37</v>
      </c>
      <c r="H63" s="17" t="str">
        <f>IFERROR(__xludf.DUMMYFUNCTION("""COMPUTED_VALUE"""),"Above 100k")</f>
        <v>Above 100k</v>
      </c>
      <c r="I63" s="19">
        <f>IFERROR(__xludf.DUMMYFUNCTION("""COMPUTED_VALUE"""),44396.0)</f>
        <v>44396</v>
      </c>
      <c r="J63" s="17">
        <f>IFERROR(__xludf.DUMMYFUNCTION("""COMPUTED_VALUE"""),1.0)</f>
        <v>1</v>
      </c>
      <c r="K63" s="17" t="str">
        <f>IFERROR(__xludf.DUMMYFUNCTION("""COMPUTED_VALUE"""),"Permanent")</f>
        <v>Permanent</v>
      </c>
      <c r="L63" s="17" t="str">
        <f>IFERROR(__xludf.DUMMYFUNCTION("""COMPUTED_VALUE"""),"Columbus, USA")</f>
        <v>Columbus, USA</v>
      </c>
      <c r="M63" s="17">
        <f>IFERROR(__xludf.DUMMYFUNCTION("""COMPUTED_VALUE"""),2.926027397260274)</f>
        <v>2.926027397</v>
      </c>
      <c r="N63" s="17" t="str">
        <f>IFERROR(__xludf.DUMMYFUNCTION("""COMPUTED_VALUE"""),"Full time")</f>
        <v>Full time</v>
      </c>
    </row>
    <row r="64" ht="14.25" customHeight="1">
      <c r="B64" s="17" t="str">
        <f>IFERROR(__xludf.DUMMYFUNCTION("""COMPUTED_VALUE"""),"VT04350")</f>
        <v>VT04350</v>
      </c>
      <c r="C64" s="17" t="str">
        <f>IFERROR(__xludf.DUMMYFUNCTION("""COMPUTED_VALUE"""),"Kulbhushan")</f>
        <v>Kulbhushan</v>
      </c>
      <c r="D64" s="17" t="str">
        <f>IFERROR(__xludf.DUMMYFUNCTION("""COMPUTED_VALUE"""),"Moorthy")</f>
        <v>Moorthy</v>
      </c>
      <c r="E64" s="17" t="str">
        <f>IFERROR(__xludf.DUMMYFUNCTION("""COMPUTED_VALUE"""),"Male")</f>
        <v>Male</v>
      </c>
      <c r="F64" s="17" t="str">
        <f>IFERROR(__xludf.DUMMYFUNCTION("""COMPUTED_VALUE"""),"Business Development")</f>
        <v>Business Development</v>
      </c>
      <c r="G64" s="18">
        <f>IFERROR(__xludf.DUMMYFUNCTION("""COMPUTED_VALUE"""),106400.02)</f>
        <v>106400.02</v>
      </c>
      <c r="H64" s="17" t="str">
        <f>IFERROR(__xludf.DUMMYFUNCTION("""COMPUTED_VALUE"""),"Above 100k")</f>
        <v>Above 100k</v>
      </c>
      <c r="I64" s="19">
        <f>IFERROR(__xludf.DUMMYFUNCTION("""COMPUTED_VALUE"""),44021.0)</f>
        <v>44021</v>
      </c>
      <c r="J64" s="17">
        <f>IFERROR(__xludf.DUMMYFUNCTION("""COMPUTED_VALUE"""),1.0)</f>
        <v>1</v>
      </c>
      <c r="K64" s="17" t="str">
        <f>IFERROR(__xludf.DUMMYFUNCTION("""COMPUTED_VALUE"""),"Temporary")</f>
        <v>Temporary</v>
      </c>
      <c r="L64" s="17" t="str">
        <f>IFERROR(__xludf.DUMMYFUNCTION("""COMPUTED_VALUE"""),"Chennai, India")</f>
        <v>Chennai, India</v>
      </c>
      <c r="M64" s="17">
        <f>IFERROR(__xludf.DUMMYFUNCTION("""COMPUTED_VALUE"""),3.9534246575342467)</f>
        <v>3.953424658</v>
      </c>
      <c r="N64" s="17" t="str">
        <f>IFERROR(__xludf.DUMMYFUNCTION("""COMPUTED_VALUE"""),"Full time")</f>
        <v>Full time</v>
      </c>
    </row>
    <row r="65" ht="14.25" customHeight="1">
      <c r="B65" s="17" t="str">
        <f>IFERROR(__xludf.DUMMYFUNCTION("""COMPUTED_VALUE"""),"SQ02035")</f>
        <v>SQ02035</v>
      </c>
      <c r="C65" s="17" t="str">
        <f>IFERROR(__xludf.DUMMYFUNCTION("""COMPUTED_VALUE"""),"Anni")</f>
        <v>Anni</v>
      </c>
      <c r="D65" s="17" t="str">
        <f>IFERROR(__xludf.DUMMYFUNCTION("""COMPUTED_VALUE"""),"Izzard")</f>
        <v>Izzard</v>
      </c>
      <c r="E65" s="17" t="str">
        <f>IFERROR(__xludf.DUMMYFUNCTION("""COMPUTED_VALUE"""),"Male")</f>
        <v>Male</v>
      </c>
      <c r="F65" s="17" t="str">
        <f>IFERROR(__xludf.DUMMYFUNCTION("""COMPUTED_VALUE"""),"Human Resources")</f>
        <v>Human Resources</v>
      </c>
      <c r="G65" s="18">
        <f>IFERROR(__xludf.DUMMYFUNCTION("""COMPUTED_VALUE"""),103494.94)</f>
        <v>103494.94</v>
      </c>
      <c r="H65" s="17" t="str">
        <f>IFERROR(__xludf.DUMMYFUNCTION("""COMPUTED_VALUE"""),"Above 100k")</f>
        <v>Above 100k</v>
      </c>
      <c r="I65" s="19">
        <f>IFERROR(__xludf.DUMMYFUNCTION("""COMPUTED_VALUE"""),43256.0)</f>
        <v>43256</v>
      </c>
      <c r="J65" s="17">
        <f>IFERROR(__xludf.DUMMYFUNCTION("""COMPUTED_VALUE"""),1.0)</f>
        <v>1</v>
      </c>
      <c r="K65" s="17" t="str">
        <f>IFERROR(__xludf.DUMMYFUNCTION("""COMPUTED_VALUE"""),"Permanent")</f>
        <v>Permanent</v>
      </c>
      <c r="L65" s="17" t="str">
        <f>IFERROR(__xludf.DUMMYFUNCTION("""COMPUTED_VALUE"""),"Remote")</f>
        <v>Remote</v>
      </c>
      <c r="M65" s="17">
        <f>IFERROR(__xludf.DUMMYFUNCTION("""COMPUTED_VALUE"""),6.049315068493151)</f>
        <v>6.049315068</v>
      </c>
      <c r="N65" s="17" t="str">
        <f>IFERROR(__xludf.DUMMYFUNCTION("""COMPUTED_VALUE"""),"Full time")</f>
        <v>Full time</v>
      </c>
    </row>
    <row r="66" ht="14.25" customHeight="1">
      <c r="B66" s="17" t="str">
        <f>IFERROR(__xludf.DUMMYFUNCTION("""COMPUTED_VALUE"""),"SQ02035")</f>
        <v>SQ02035</v>
      </c>
      <c r="C66" s="17" t="str">
        <f>IFERROR(__xludf.DUMMYFUNCTION("""COMPUTED_VALUE"""),"Anni")</f>
        <v>Anni</v>
      </c>
      <c r="D66" s="17" t="str">
        <f>IFERROR(__xludf.DUMMYFUNCTION("""COMPUTED_VALUE"""),"Izzard")</f>
        <v>Izzard</v>
      </c>
      <c r="E66" s="17" t="str">
        <f>IFERROR(__xludf.DUMMYFUNCTION("""COMPUTED_VALUE"""),"Male")</f>
        <v>Male</v>
      </c>
      <c r="F66" s="17" t="str">
        <f>IFERROR(__xludf.DUMMYFUNCTION("""COMPUTED_VALUE"""),"Human Resources")</f>
        <v>Human Resources</v>
      </c>
      <c r="G66" s="18">
        <f>IFERROR(__xludf.DUMMYFUNCTION("""COMPUTED_VALUE"""),103494.94)</f>
        <v>103494.94</v>
      </c>
      <c r="H66" s="17" t="str">
        <f>IFERROR(__xludf.DUMMYFUNCTION("""COMPUTED_VALUE"""),"Above 100k")</f>
        <v>Above 100k</v>
      </c>
      <c r="I66" s="19">
        <f>IFERROR(__xludf.DUMMYFUNCTION("""COMPUTED_VALUE"""),43256.0)</f>
        <v>43256</v>
      </c>
      <c r="J66" s="17">
        <f>IFERROR(__xludf.DUMMYFUNCTION("""COMPUTED_VALUE"""),1.0)</f>
        <v>1</v>
      </c>
      <c r="K66" s="17" t="str">
        <f>IFERROR(__xludf.DUMMYFUNCTION("""COMPUTED_VALUE"""),"Permanent")</f>
        <v>Permanent</v>
      </c>
      <c r="L66" s="17" t="str">
        <f>IFERROR(__xludf.DUMMYFUNCTION("""COMPUTED_VALUE"""),"Remote")</f>
        <v>Remote</v>
      </c>
      <c r="M66" s="17">
        <f>IFERROR(__xludf.DUMMYFUNCTION("""COMPUTED_VALUE"""),6.049315068493151)</f>
        <v>6.049315068</v>
      </c>
      <c r="N66" s="17" t="str">
        <f>IFERROR(__xludf.DUMMYFUNCTION("""COMPUTED_VALUE"""),"Full time")</f>
        <v>Full time</v>
      </c>
    </row>
    <row r="67" ht="14.25" customHeight="1">
      <c r="B67" s="17" t="str">
        <f>IFERROR(__xludf.DUMMYFUNCTION("""COMPUTED_VALUE"""),"VT04350")</f>
        <v>VT04350</v>
      </c>
      <c r="C67" s="17" t="str">
        <f>IFERROR(__xludf.DUMMYFUNCTION("""COMPUTED_VALUE"""),"Lalit")</f>
        <v>Lalit</v>
      </c>
      <c r="D67" s="17" t="str">
        <f>IFERROR(__xludf.DUMMYFUNCTION("""COMPUTED_VALUE"""),"Kothari")</f>
        <v>Kothari</v>
      </c>
      <c r="E67" s="17" t="str">
        <f>IFERROR(__xludf.DUMMYFUNCTION("""COMPUTED_VALUE"""),"Male")</f>
        <v>Male</v>
      </c>
      <c r="F67" s="17" t="str">
        <f>IFERROR(__xludf.DUMMYFUNCTION("""COMPUTED_VALUE"""),"Business Development")</f>
        <v>Business Development</v>
      </c>
      <c r="G67" s="18">
        <f>IFERROR(__xludf.DUMMYFUNCTION("""COMPUTED_VALUE"""),106400.02)</f>
        <v>106400.02</v>
      </c>
      <c r="H67" s="17" t="str">
        <f>IFERROR(__xludf.DUMMYFUNCTION("""COMPUTED_VALUE"""),"Above 100k")</f>
        <v>Above 100k</v>
      </c>
      <c r="I67" s="19">
        <f>IFERROR(__xludf.DUMMYFUNCTION("""COMPUTED_VALUE"""),44021.0)</f>
        <v>44021</v>
      </c>
      <c r="J67" s="17">
        <f>IFERROR(__xludf.DUMMYFUNCTION("""COMPUTED_VALUE"""),1.0)</f>
        <v>1</v>
      </c>
      <c r="K67" s="17" t="str">
        <f>IFERROR(__xludf.DUMMYFUNCTION("""COMPUTED_VALUE"""),"Temporary")</f>
        <v>Temporary</v>
      </c>
      <c r="L67" s="17" t="str">
        <f>IFERROR(__xludf.DUMMYFUNCTION("""COMPUTED_VALUE"""),"Chennai, India")</f>
        <v>Chennai, India</v>
      </c>
      <c r="M67" s="17">
        <f>IFERROR(__xludf.DUMMYFUNCTION("""COMPUTED_VALUE"""),3.9534246575342467)</f>
        <v>3.953424658</v>
      </c>
      <c r="N67" s="17" t="str">
        <f>IFERROR(__xludf.DUMMYFUNCTION("""COMPUTED_VALUE"""),"Full time")</f>
        <v>Full time</v>
      </c>
    </row>
    <row r="68" ht="14.25" customHeight="1">
      <c r="B68" s="17" t="str">
        <f>IFERROR(__xludf.DUMMYFUNCTION("""COMPUTED_VALUE"""),"SQ02624")</f>
        <v>SQ02624</v>
      </c>
      <c r="C68" s="17" t="str">
        <f>IFERROR(__xludf.DUMMYFUNCTION("""COMPUTED_VALUE"""),"Gwenneth")</f>
        <v>Gwenneth</v>
      </c>
      <c r="D68" s="17" t="str">
        <f>IFERROR(__xludf.DUMMYFUNCTION("""COMPUTED_VALUE"""),"Fealey")</f>
        <v>Fealey</v>
      </c>
      <c r="E68" s="17" t="str">
        <f>IFERROR(__xludf.DUMMYFUNCTION("""COMPUTED_VALUE"""),"Female")</f>
        <v>Female</v>
      </c>
      <c r="F68" s="17" t="str">
        <f>IFERROR(__xludf.DUMMYFUNCTION("""COMPUTED_VALUE"""),"Engineering")</f>
        <v>Engineering</v>
      </c>
      <c r="G68" s="18">
        <f>IFERROR(__xludf.DUMMYFUNCTION("""COMPUTED_VALUE"""),114772.32)</f>
        <v>114772.32</v>
      </c>
      <c r="H68" s="17" t="str">
        <f>IFERROR(__xludf.DUMMYFUNCTION("""COMPUTED_VALUE"""),"Above 100k")</f>
        <v>Above 100k</v>
      </c>
      <c r="I68" s="19">
        <f>IFERROR(__xludf.DUMMYFUNCTION("""COMPUTED_VALUE"""),44251.0)</f>
        <v>44251</v>
      </c>
      <c r="J68" s="17">
        <f>IFERROR(__xludf.DUMMYFUNCTION("""COMPUTED_VALUE"""),1.0)</f>
        <v>1</v>
      </c>
      <c r="K68" s="17" t="str">
        <f>IFERROR(__xludf.DUMMYFUNCTION("""COMPUTED_VALUE"""),"Permanent")</f>
        <v>Permanent</v>
      </c>
      <c r="L68" s="17" t="str">
        <f>IFERROR(__xludf.DUMMYFUNCTION("""COMPUTED_VALUE"""),"Columbus, USA")</f>
        <v>Columbus, USA</v>
      </c>
      <c r="M68" s="17">
        <f>IFERROR(__xludf.DUMMYFUNCTION("""COMPUTED_VALUE"""),3.3232876712328765)</f>
        <v>3.323287671</v>
      </c>
      <c r="N68" s="17" t="str">
        <f>IFERROR(__xludf.DUMMYFUNCTION("""COMPUTED_VALUE"""),"Full time")</f>
        <v>Full time</v>
      </c>
    </row>
    <row r="69" ht="14.25" customHeight="1">
      <c r="B69" s="17" t="str">
        <f>IFERROR(__xludf.DUMMYFUNCTION("""COMPUTED_VALUE"""),"VT03421")</f>
        <v>VT03421</v>
      </c>
      <c r="C69" s="17" t="str">
        <f>IFERROR(__xludf.DUMMYFUNCTION("""COMPUTED_VALUE"""),"Alic")</f>
        <v>Alic</v>
      </c>
      <c r="D69" s="17" t="str">
        <f>IFERROR(__xludf.DUMMYFUNCTION("""COMPUTED_VALUE"""),"Bagg")</f>
        <v>Bagg</v>
      </c>
      <c r="E69" s="17" t="str">
        <f>IFERROR(__xludf.DUMMYFUNCTION("""COMPUTED_VALUE"""),"Male")</f>
        <v>Male</v>
      </c>
      <c r="F69" s="17" t="str">
        <f>IFERROR(__xludf.DUMMYFUNCTION("""COMPUTED_VALUE"""),"Legal")</f>
        <v>Legal</v>
      </c>
      <c r="G69" s="18">
        <f>IFERROR(__xludf.DUMMYFUNCTION("""COMPUTED_VALUE"""),113747.56)</f>
        <v>113747.56</v>
      </c>
      <c r="H69" s="17" t="str">
        <f>IFERROR(__xludf.DUMMYFUNCTION("""COMPUTED_VALUE"""),"Above 100k")</f>
        <v>Above 100k</v>
      </c>
      <c r="I69" s="19">
        <f>IFERROR(__xludf.DUMMYFUNCTION("""COMPUTED_VALUE"""),44270.0)</f>
        <v>44270</v>
      </c>
      <c r="J69" s="17">
        <f>IFERROR(__xludf.DUMMYFUNCTION("""COMPUTED_VALUE"""),0.7)</f>
        <v>0.7</v>
      </c>
      <c r="K69" s="17" t="str">
        <f>IFERROR(__xludf.DUMMYFUNCTION("""COMPUTED_VALUE"""),"Temporary")</f>
        <v>Temporary</v>
      </c>
      <c r="L69" s="17" t="str">
        <f>IFERROR(__xludf.DUMMYFUNCTION("""COMPUTED_VALUE"""),"Columbus, USA")</f>
        <v>Columbus, USA</v>
      </c>
      <c r="M69" s="17">
        <f>IFERROR(__xludf.DUMMYFUNCTION("""COMPUTED_VALUE"""),3.271232876712329)</f>
        <v>3.271232877</v>
      </c>
      <c r="N69" s="17" t="str">
        <f>IFERROR(__xludf.DUMMYFUNCTION("""COMPUTED_VALUE"""),"Part time")</f>
        <v>Part time</v>
      </c>
    </row>
    <row r="70" ht="14.25" customHeight="1"/>
    <row r="71" ht="14.25" customHeight="1"/>
    <row r="72" ht="14.25" customHeight="1">
      <c r="A72" s="14" t="s">
        <v>464</v>
      </c>
      <c r="B72" s="11"/>
      <c r="C72" s="11"/>
      <c r="D72" s="11"/>
      <c r="E72" s="11"/>
    </row>
    <row r="73" ht="14.25" customHeight="1">
      <c r="D73" s="20" t="s">
        <v>468</v>
      </c>
      <c r="E73" s="21">
        <v>102500.0</v>
      </c>
    </row>
    <row r="74" ht="14.25" customHeight="1">
      <c r="A74" s="22"/>
      <c r="B74" s="22"/>
      <c r="C74" s="22"/>
      <c r="D74" s="22"/>
      <c r="E74" s="2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</row>
    <row r="75" ht="14.25" customHeight="1">
      <c r="A75" s="23" t="str">
        <f>Staff[#HEADERS]</f>
        <v>Emp ID</v>
      </c>
      <c r="B75" s="23" t="str">
        <f>Staff[#HEADERS]</f>
        <v>First Name</v>
      </c>
      <c r="C75" s="23" t="str">
        <f>Staff[#HEADERS]</f>
        <v>Last Name</v>
      </c>
      <c r="D75" s="23" t="s">
        <v>14</v>
      </c>
      <c r="E75" s="23" t="s">
        <v>16</v>
      </c>
    </row>
    <row r="76" ht="14.25" customHeight="1">
      <c r="A76" s="17" t="str">
        <f>IFERROR(__xludf.DUMMYFUNCTION("CHOOSECOLS(FILTER(Staff,Staff[Salary]&gt;E73),1,2,3,5,6)"),"PR00147")</f>
        <v>PR00147</v>
      </c>
      <c r="B76" s="17" t="str">
        <f>IFERROR(__xludf.DUMMYFUNCTION("""COMPUTED_VALUE"""),"Minerva")</f>
        <v>Minerva</v>
      </c>
      <c r="C76" s="17" t="str">
        <f>IFERROR(__xludf.DUMMYFUNCTION("""COMPUTED_VALUE"""),"Ricardot")</f>
        <v>Ricardot</v>
      </c>
      <c r="D76" s="17" t="str">
        <f>IFERROR(__xludf.DUMMYFUNCTION("""COMPUTED_VALUE"""),"Engineering")</f>
        <v>Engineering</v>
      </c>
      <c r="E76" s="24">
        <f>IFERROR(__xludf.DUMMYFUNCTION("""COMPUTED_VALUE"""),120000.0)</f>
        <v>120000</v>
      </c>
    </row>
    <row r="77" ht="14.25" customHeight="1">
      <c r="A77" s="17" t="str">
        <f>IFERROR(__xludf.DUMMYFUNCTION("""COMPUTED_VALUE"""),"SQ04612")</f>
        <v>SQ04612</v>
      </c>
      <c r="B77" s="17" t="str">
        <f>IFERROR(__xludf.DUMMYFUNCTION("""COMPUTED_VALUE"""),"Mick")</f>
        <v>Mick</v>
      </c>
      <c r="C77" s="17" t="str">
        <f>IFERROR(__xludf.DUMMYFUNCTION("""COMPUTED_VALUE"""),"Spraberry")</f>
        <v>Spraberry</v>
      </c>
      <c r="D77" s="17" t="str">
        <f>IFERROR(__xludf.DUMMYFUNCTION("""COMPUTED_VALUE"""),"Services")</f>
        <v>Services</v>
      </c>
      <c r="E77" s="24">
        <f>IFERROR(__xludf.DUMMYFUNCTION("""COMPUTED_VALUE"""),120000.0)</f>
        <v>120000</v>
      </c>
    </row>
    <row r="78" ht="14.25" customHeight="1">
      <c r="A78" s="17" t="str">
        <f>IFERROR(__xludf.DUMMYFUNCTION("""COMPUTED_VALUE"""),"SQ00144")</f>
        <v>SQ00144</v>
      </c>
      <c r="B78" s="17" t="str">
        <f>IFERROR(__xludf.DUMMYFUNCTION("""COMPUTED_VALUE"""),"Collen")</f>
        <v>Collen</v>
      </c>
      <c r="C78" s="17" t="str">
        <f>IFERROR(__xludf.DUMMYFUNCTION("""COMPUTED_VALUE"""),"Dunbleton")</f>
        <v>Dunbleton</v>
      </c>
      <c r="D78" s="17" t="str">
        <f>IFERROR(__xludf.DUMMYFUNCTION("""COMPUTED_VALUE"""),"Engineering")</f>
        <v>Engineering</v>
      </c>
      <c r="E78" s="24">
        <f>IFERROR(__xludf.DUMMYFUNCTION("""COMPUTED_VALUE"""),118976.16)</f>
        <v>118976.16</v>
      </c>
    </row>
    <row r="79" ht="14.25" customHeight="1">
      <c r="A79" s="17" t="str">
        <f>IFERROR(__xludf.DUMMYFUNCTION("""COMPUTED_VALUE"""),"PR04601")</f>
        <v>PR04601</v>
      </c>
      <c r="B79" s="17" t="str">
        <f>IFERROR(__xludf.DUMMYFUNCTION("""COMPUTED_VALUE"""),"Yedukondalu")</f>
        <v>Yedukondalu</v>
      </c>
      <c r="C79" s="17" t="str">
        <f>IFERROR(__xludf.DUMMYFUNCTION("""COMPUTED_VALUE"""),"Panditula")</f>
        <v>Panditula</v>
      </c>
      <c r="D79" s="17" t="str">
        <f>IFERROR(__xludf.DUMMYFUNCTION("""COMPUTED_VALUE"""),"Support")</f>
        <v>Support</v>
      </c>
      <c r="E79" s="24">
        <f>IFERROR(__xludf.DUMMYFUNCTION("""COMPUTED_VALUE"""),104802.63)</f>
        <v>104802.63</v>
      </c>
    </row>
    <row r="80" ht="14.25" customHeight="1">
      <c r="A80" s="17" t="str">
        <f>IFERROR(__xludf.DUMMYFUNCTION("""COMPUTED_VALUE"""),"TN01281")</f>
        <v>TN01281</v>
      </c>
      <c r="B80" s="17" t="str">
        <f>IFERROR(__xludf.DUMMYFUNCTION("""COMPUTED_VALUE"""),"Cletus")</f>
        <v>Cletus</v>
      </c>
      <c r="C80" s="17" t="str">
        <f>IFERROR(__xludf.DUMMYFUNCTION("""COMPUTED_VALUE"""),"McGarahan")</f>
        <v>McGarahan</v>
      </c>
      <c r="D80" s="17" t="str">
        <f>IFERROR(__xludf.DUMMYFUNCTION("""COMPUTED_VALUE"""),"Engineering")</f>
        <v>Engineering</v>
      </c>
      <c r="E80" s="24">
        <f>IFERROR(__xludf.DUMMYFUNCTION("""COMPUTED_VALUE"""),114425.19)</f>
        <v>114425.19</v>
      </c>
    </row>
    <row r="81" ht="14.25" customHeight="1">
      <c r="A81" s="17" t="str">
        <f>IFERROR(__xludf.DUMMYFUNCTION("""COMPUTED_VALUE"""),"PR02288")</f>
        <v>PR02288</v>
      </c>
      <c r="B81" s="17" t="str">
        <f>IFERROR(__xludf.DUMMYFUNCTION("""COMPUTED_VALUE"""),"Althea")</f>
        <v>Althea</v>
      </c>
      <c r="C81" s="17" t="str">
        <f>IFERROR(__xludf.DUMMYFUNCTION("""COMPUTED_VALUE"""),"Bronger")</f>
        <v>Bronger</v>
      </c>
      <c r="D81" s="17" t="str">
        <f>IFERROR(__xludf.DUMMYFUNCTION("""COMPUTED_VALUE"""),"Product Management")</f>
        <v>Product Management</v>
      </c>
      <c r="E81" s="24">
        <f>IFERROR(__xludf.DUMMYFUNCTION("""COMPUTED_VALUE"""),104335.04)</f>
        <v>104335.04</v>
      </c>
    </row>
    <row r="82" ht="14.25" customHeight="1">
      <c r="A82" s="17" t="str">
        <f>IFERROR(__xludf.DUMMYFUNCTION("""COMPUTED_VALUE"""),"SQ01620")</f>
        <v>SQ01620</v>
      </c>
      <c r="B82" s="17" t="str">
        <f>IFERROR(__xludf.DUMMYFUNCTION("""COMPUTED_VALUE"""),"Westbrook")</f>
        <v>Westbrook</v>
      </c>
      <c r="C82" s="17" t="str">
        <f>IFERROR(__xludf.DUMMYFUNCTION("""COMPUTED_VALUE"""),"Brandino")</f>
        <v>Brandino</v>
      </c>
      <c r="D82" s="17" t="str">
        <f>IFERROR(__xludf.DUMMYFUNCTION("""COMPUTED_VALUE"""),"Legal")</f>
        <v>Legal</v>
      </c>
      <c r="E82" s="24">
        <f>IFERROR(__xludf.DUMMYFUNCTION("""COMPUTED_VALUE"""),113616.23)</f>
        <v>113616.23</v>
      </c>
    </row>
    <row r="83" ht="14.25" customHeight="1">
      <c r="A83" s="17" t="str">
        <f>IFERROR(__xludf.DUMMYFUNCTION("""COMPUTED_VALUE"""),"VT04681")</f>
        <v>VT04681</v>
      </c>
      <c r="B83" s="17" t="str">
        <f>IFERROR(__xludf.DUMMYFUNCTION("""COMPUTED_VALUE"""),"Nickolai")</f>
        <v>Nickolai</v>
      </c>
      <c r="C83" s="17" t="str">
        <f>IFERROR(__xludf.DUMMYFUNCTION("""COMPUTED_VALUE"""),"Artin")</f>
        <v>Artin</v>
      </c>
      <c r="D83" s="17" t="str">
        <f>IFERROR(__xludf.DUMMYFUNCTION("""COMPUTED_VALUE"""),"Product Management")</f>
        <v>Product Management</v>
      </c>
      <c r="E83" s="24">
        <f>IFERROR(__xludf.DUMMYFUNCTION("""COMPUTED_VALUE"""),110906.35)</f>
        <v>110906.35</v>
      </c>
    </row>
    <row r="84" ht="14.25" customHeight="1">
      <c r="A84" s="17" t="str">
        <f>IFERROR(__xludf.DUMMYFUNCTION("""COMPUTED_VALUE"""),"VT02801")</f>
        <v>VT02801</v>
      </c>
      <c r="B84" s="17" t="str">
        <f>IFERROR(__xludf.DUMMYFUNCTION("""COMPUTED_VALUE"""),"Shellysheldon")</f>
        <v>Shellysheldon</v>
      </c>
      <c r="C84" s="17" t="str">
        <f>IFERROR(__xludf.DUMMYFUNCTION("""COMPUTED_VALUE"""),"Mahady")</f>
        <v>Mahady</v>
      </c>
      <c r="D84" s="17" t="str">
        <f>IFERROR(__xludf.DUMMYFUNCTION("""COMPUTED_VALUE"""),"Training")</f>
        <v>Training</v>
      </c>
      <c r="E84" s="24">
        <f>IFERROR(__xludf.DUMMYFUNCTION("""COMPUTED_VALUE"""),114691.03)</f>
        <v>114691.03</v>
      </c>
    </row>
    <row r="85" ht="14.25" customHeight="1">
      <c r="A85" s="17" t="str">
        <f>IFERROR(__xludf.DUMMYFUNCTION("""COMPUTED_VALUE"""),"PR02208")</f>
        <v>PR02208</v>
      </c>
      <c r="B85" s="17" t="str">
        <f>IFERROR(__xludf.DUMMYFUNCTION("""COMPUTED_VALUE"""),"Gowri")</f>
        <v>Gowri</v>
      </c>
      <c r="C85" s="17" t="str">
        <f>IFERROR(__xludf.DUMMYFUNCTION("""COMPUTED_VALUE"""),"Sankar")</f>
        <v>Sankar</v>
      </c>
      <c r="D85" s="17" t="str">
        <f>IFERROR(__xludf.DUMMYFUNCTION("""COMPUTED_VALUE"""),"Training")</f>
        <v>Training</v>
      </c>
      <c r="E85" s="24">
        <f>IFERROR(__xludf.DUMMYFUNCTION("""COMPUTED_VALUE"""),102934.09)</f>
        <v>102934.09</v>
      </c>
    </row>
    <row r="86" ht="14.25" customHeight="1">
      <c r="A86" s="17" t="str">
        <f>IFERROR(__xludf.DUMMYFUNCTION("""COMPUTED_VALUE"""),"VT04093")</f>
        <v>VT04093</v>
      </c>
      <c r="B86" s="17" t="str">
        <f>IFERROR(__xludf.DUMMYFUNCTION("""COMPUTED_VALUE"""),"Prasanna")</f>
        <v>Prasanna</v>
      </c>
      <c r="C86" s="17" t="str">
        <f>IFERROR(__xludf.DUMMYFUNCTION("""COMPUTED_VALUE"""),"Lakshmi")</f>
        <v>Lakshmi</v>
      </c>
      <c r="D86" s="17" t="str">
        <f>IFERROR(__xludf.DUMMYFUNCTION("""COMPUTED_VALUE"""),"Training")</f>
        <v>Training</v>
      </c>
      <c r="E86" s="24">
        <f>IFERROR(__xludf.DUMMYFUNCTION("""COMPUTED_VALUE"""),116767.63)</f>
        <v>116767.63</v>
      </c>
    </row>
    <row r="87" ht="14.25" customHeight="1">
      <c r="A87" s="17" t="str">
        <f>IFERROR(__xludf.DUMMYFUNCTION("""COMPUTED_VALUE"""),"VT03421")</f>
        <v>VT03421</v>
      </c>
      <c r="B87" s="17" t="str">
        <f>IFERROR(__xludf.DUMMYFUNCTION("""COMPUTED_VALUE"""),"Alic")</f>
        <v>Alic</v>
      </c>
      <c r="C87" s="17" t="str">
        <f>IFERROR(__xludf.DUMMYFUNCTION("""COMPUTED_VALUE"""),"Bagg")</f>
        <v>Bagg</v>
      </c>
      <c r="D87" s="17" t="str">
        <f>IFERROR(__xludf.DUMMYFUNCTION("""COMPUTED_VALUE"""),"Legal")</f>
        <v>Legal</v>
      </c>
      <c r="E87" s="24">
        <f>IFERROR(__xludf.DUMMYFUNCTION("""COMPUTED_VALUE"""),113747.56)</f>
        <v>113747.56</v>
      </c>
    </row>
    <row r="88" ht="14.25" customHeight="1">
      <c r="A88" s="17" t="str">
        <f>IFERROR(__xludf.DUMMYFUNCTION("""COMPUTED_VALUE"""),"VT02491")</f>
        <v>VT02491</v>
      </c>
      <c r="B88" s="17" t="str">
        <f>IFERROR(__xludf.DUMMYFUNCTION("""COMPUTED_VALUE"""),"Alexis")</f>
        <v>Alexis</v>
      </c>
      <c r="C88" s="17" t="str">
        <f>IFERROR(__xludf.DUMMYFUNCTION("""COMPUTED_VALUE"""),"Gotfrey")</f>
        <v>Gotfrey</v>
      </c>
      <c r="D88" s="17" t="str">
        <f>IFERROR(__xludf.DUMMYFUNCTION("""COMPUTED_VALUE"""),"Engineering")</f>
        <v>Engineering</v>
      </c>
      <c r="E88" s="24">
        <f>IFERROR(__xludf.DUMMYFUNCTION("""COMPUTED_VALUE"""),114465.93)</f>
        <v>114465.93</v>
      </c>
    </row>
    <row r="89" ht="14.25" customHeight="1">
      <c r="A89" s="17" t="str">
        <f>IFERROR(__xludf.DUMMYFUNCTION("""COMPUTED_VALUE"""),"TN04058")</f>
        <v>TN04058</v>
      </c>
      <c r="B89" s="17" t="str">
        <f>IFERROR(__xludf.DUMMYFUNCTION("""COMPUTED_VALUE"""),"Subbarao")</f>
        <v>Subbarao</v>
      </c>
      <c r="C89" s="17" t="str">
        <f>IFERROR(__xludf.DUMMYFUNCTION("""COMPUTED_VALUE"""),"Malladi")</f>
        <v>Malladi</v>
      </c>
      <c r="D89" s="17" t="str">
        <f>IFERROR(__xludf.DUMMYFUNCTION("""COMPUTED_VALUE"""),"Product Management")</f>
        <v>Product Management</v>
      </c>
      <c r="E89" s="24">
        <f>IFERROR(__xludf.DUMMYFUNCTION("""COMPUTED_VALUE"""),106775.14)</f>
        <v>106775.14</v>
      </c>
    </row>
    <row r="90" ht="14.25" customHeight="1">
      <c r="A90" s="17" t="str">
        <f>IFERROR(__xludf.DUMMYFUNCTION("""COMPUTED_VALUE"""),"PR01159")</f>
        <v>PR01159</v>
      </c>
      <c r="B90" s="17" t="str">
        <f>IFERROR(__xludf.DUMMYFUNCTION("""COMPUTED_VALUE"""),"Mollie")</f>
        <v>Mollie</v>
      </c>
      <c r="C90" s="17" t="str">
        <f>IFERROR(__xludf.DUMMYFUNCTION("""COMPUTED_VALUE"""),"Hanway")</f>
        <v>Hanway</v>
      </c>
      <c r="D90" s="17" t="str">
        <f>IFERROR(__xludf.DUMMYFUNCTION("""COMPUTED_VALUE"""),"Engineering")</f>
        <v>Engineering</v>
      </c>
      <c r="E90" s="24">
        <f>IFERROR(__xludf.DUMMYFUNCTION("""COMPUTED_VALUE"""),112645.99)</f>
        <v>112645.99</v>
      </c>
    </row>
    <row r="91" ht="14.25" customHeight="1">
      <c r="A91" s="17" t="str">
        <f>IFERROR(__xludf.DUMMYFUNCTION("""COMPUTED_VALUE"""),"SQ03476")</f>
        <v>SQ03476</v>
      </c>
      <c r="B91" s="17" t="str">
        <f>IFERROR(__xludf.DUMMYFUNCTION("""COMPUTED_VALUE"""),"Ramalingam")</f>
        <v>Ramalingam</v>
      </c>
      <c r="C91" s="17" t="str">
        <f>IFERROR(__xludf.DUMMYFUNCTION("""COMPUTED_VALUE"""),"Kothapeta")</f>
        <v>Kothapeta</v>
      </c>
      <c r="D91" s="17" t="str">
        <f>IFERROR(__xludf.DUMMYFUNCTION("""COMPUTED_VALUE"""),"Accounting")</f>
        <v>Accounting</v>
      </c>
      <c r="E91" s="24">
        <f>IFERROR(__xludf.DUMMYFUNCTION("""COMPUTED_VALUE"""),107107.6)</f>
        <v>107107.6</v>
      </c>
    </row>
    <row r="92" ht="14.25" customHeight="1">
      <c r="A92" s="17" t="str">
        <f>IFERROR(__xludf.DUMMYFUNCTION("""COMPUTED_VALUE"""),"TN04740")</f>
        <v>TN04740</v>
      </c>
      <c r="B92" s="17" t="str">
        <f>IFERROR(__xludf.DUMMYFUNCTION("""COMPUTED_VALUE"""),"Tristam")</f>
        <v>Tristam</v>
      </c>
      <c r="C92" s="17" t="str">
        <f>IFERROR(__xludf.DUMMYFUNCTION("""COMPUTED_VALUE"""),"Cuming")</f>
        <v>Cuming</v>
      </c>
      <c r="D92" s="17" t="str">
        <f>IFERROR(__xludf.DUMMYFUNCTION("""COMPUTED_VALUE"""),"Support")</f>
        <v>Support</v>
      </c>
      <c r="E92" s="24">
        <f>IFERROR(__xludf.DUMMYFUNCTION("""COMPUTED_VALUE"""),104038.9)</f>
        <v>104038.9</v>
      </c>
    </row>
    <row r="93" ht="14.25" customHeight="1">
      <c r="A93" s="17" t="str">
        <f>IFERROR(__xludf.DUMMYFUNCTION("""COMPUTED_VALUE"""),"VT01893")</f>
        <v>VT01893</v>
      </c>
      <c r="B93" s="17" t="str">
        <f>IFERROR(__xludf.DUMMYFUNCTION("""COMPUTED_VALUE"""),"Lindy")</f>
        <v>Lindy</v>
      </c>
      <c r="C93" s="17" t="str">
        <f>IFERROR(__xludf.DUMMYFUNCTION("""COMPUTED_VALUE"""),"Guillet")</f>
        <v>Guillet</v>
      </c>
      <c r="D93" s="17" t="str">
        <f>IFERROR(__xludf.DUMMYFUNCTION("""COMPUTED_VALUE"""),"Training")</f>
        <v>Training</v>
      </c>
      <c r="E93" s="24">
        <f>IFERROR(__xludf.DUMMYFUNCTION("""COMPUTED_VALUE"""),112778.28)</f>
        <v>112778.28</v>
      </c>
    </row>
    <row r="94" ht="14.25" customHeight="1">
      <c r="A94" s="17" t="str">
        <f>IFERROR(__xludf.DUMMYFUNCTION("""COMPUTED_VALUE"""),"PR02010")</f>
        <v>PR02010</v>
      </c>
      <c r="B94" s="17" t="str">
        <f>IFERROR(__xludf.DUMMYFUNCTION("""COMPUTED_VALUE"""),"Prerana")</f>
        <v>Prerana</v>
      </c>
      <c r="C94" s="17" t="str">
        <f>IFERROR(__xludf.DUMMYFUNCTION("""COMPUTED_VALUE"""),"Nishita")</f>
        <v>Nishita</v>
      </c>
      <c r="D94" s="17" t="str">
        <f>IFERROR(__xludf.DUMMYFUNCTION("""COMPUTED_VALUE"""),"Product Management")</f>
        <v>Product Management</v>
      </c>
      <c r="E94" s="24">
        <f>IFERROR(__xludf.DUMMYFUNCTION("""COMPUTED_VALUE"""),115191.38)</f>
        <v>115191.38</v>
      </c>
    </row>
    <row r="95" ht="14.25" customHeight="1">
      <c r="A95" s="17" t="str">
        <f>IFERROR(__xludf.DUMMYFUNCTION("""COMPUTED_VALUE"""),"SQ00498")</f>
        <v>SQ00498</v>
      </c>
      <c r="B95" s="17" t="str">
        <f>IFERROR(__xludf.DUMMYFUNCTION("""COMPUTED_VALUE"""),"Amery")</f>
        <v>Amery</v>
      </c>
      <c r="C95" s="17" t="str">
        <f>IFERROR(__xludf.DUMMYFUNCTION("""COMPUTED_VALUE"""),"Ofer")</f>
        <v>Ofer</v>
      </c>
      <c r="D95" s="17" t="str">
        <f>IFERROR(__xludf.DUMMYFUNCTION("""COMPUTED_VALUE"""),"Legal")</f>
        <v>Legal</v>
      </c>
      <c r="E95" s="24">
        <f>IFERROR(__xludf.DUMMYFUNCTION("""COMPUTED_VALUE"""),111049.84)</f>
        <v>111049.84</v>
      </c>
    </row>
    <row r="96" ht="14.25" customHeight="1">
      <c r="A96" s="17" t="str">
        <f>IFERROR(__xludf.DUMMYFUNCTION("""COMPUTED_VALUE"""),"TN04058")</f>
        <v>TN04058</v>
      </c>
      <c r="B96" s="17" t="str">
        <f>IFERROR(__xludf.DUMMYFUNCTION("""COMPUTED_VALUE"""),"Vasu")</f>
        <v>Vasu</v>
      </c>
      <c r="C96" s="17" t="str">
        <f>IFERROR(__xludf.DUMMYFUNCTION("""COMPUTED_VALUE"""),"Nandin")</f>
        <v>Nandin</v>
      </c>
      <c r="D96" s="17" t="str">
        <f>IFERROR(__xludf.DUMMYFUNCTION("""COMPUTED_VALUE"""),"Product Management")</f>
        <v>Product Management</v>
      </c>
      <c r="E96" s="24">
        <f>IFERROR(__xludf.DUMMYFUNCTION("""COMPUTED_VALUE"""),106775.14)</f>
        <v>106775.14</v>
      </c>
    </row>
    <row r="97" ht="14.25" customHeight="1">
      <c r="A97" s="17" t="str">
        <f>IFERROR(__xludf.DUMMYFUNCTION("""COMPUTED_VALUE"""),"SQ04603")</f>
        <v>SQ04603</v>
      </c>
      <c r="B97" s="17" t="str">
        <f>IFERROR(__xludf.DUMMYFUNCTION("""COMPUTED_VALUE"""),"Natalee")</f>
        <v>Natalee</v>
      </c>
      <c r="C97" s="17" t="str">
        <f>IFERROR(__xludf.DUMMYFUNCTION("""COMPUTED_VALUE"""),"Craiker")</f>
        <v>Craiker</v>
      </c>
      <c r="D97" s="17" t="str">
        <f>IFERROR(__xludf.DUMMYFUNCTION("""COMPUTED_VALUE"""),"Product Management")</f>
        <v>Product Management</v>
      </c>
      <c r="E97" s="24">
        <f>IFERROR(__xludf.DUMMYFUNCTION("""COMPUTED_VALUE"""),111229.47)</f>
        <v>111229.47</v>
      </c>
    </row>
    <row r="98" ht="14.25" customHeight="1">
      <c r="A98" s="17" t="str">
        <f>IFERROR(__xludf.DUMMYFUNCTION("""COMPUTED_VALUE"""),"VT04028")</f>
        <v>VT04028</v>
      </c>
      <c r="B98" s="17" t="str">
        <f>IFERROR(__xludf.DUMMYFUNCTION("""COMPUTED_VALUE"""),"Michale")</f>
        <v>Michale</v>
      </c>
      <c r="C98" s="17" t="str">
        <f>IFERROR(__xludf.DUMMYFUNCTION("""COMPUTED_VALUE"""),"Rolf")</f>
        <v>Rolf</v>
      </c>
      <c r="D98" s="17" t="str">
        <f>IFERROR(__xludf.DUMMYFUNCTION("""COMPUTED_VALUE"""),"Services")</f>
        <v>Services</v>
      </c>
      <c r="E98" s="24">
        <f>IFERROR(__xludf.DUMMYFUNCTION("""COMPUTED_VALUE"""),111815.49)</f>
        <v>111815.49</v>
      </c>
    </row>
    <row r="99" ht="14.25" customHeight="1">
      <c r="A99" s="17" t="str">
        <f>IFERROR(__xludf.DUMMYFUNCTION("""COMPUTED_VALUE"""),"VT04028")</f>
        <v>VT04028</v>
      </c>
      <c r="B99" s="17" t="str">
        <f>IFERROR(__xludf.DUMMYFUNCTION("""COMPUTED_VALUE"""),"Michale")</f>
        <v>Michale</v>
      </c>
      <c r="C99" s="17" t="str">
        <f>IFERROR(__xludf.DUMMYFUNCTION("""COMPUTED_VALUE"""),"Rolf")</f>
        <v>Rolf</v>
      </c>
      <c r="D99" s="17" t="str">
        <f>IFERROR(__xludf.DUMMYFUNCTION("""COMPUTED_VALUE"""),"Services")</f>
        <v>Services</v>
      </c>
      <c r="E99" s="24">
        <f>IFERROR(__xludf.DUMMYFUNCTION("""COMPUTED_VALUE"""),111815.49)</f>
        <v>111815.49</v>
      </c>
    </row>
    <row r="100" ht="14.25" customHeight="1">
      <c r="A100" s="17" t="str">
        <f>IFERROR(__xludf.DUMMYFUNCTION("""COMPUTED_VALUE"""),"SQ00022")</f>
        <v>SQ00022</v>
      </c>
      <c r="B100" s="17" t="str">
        <f>IFERROR(__xludf.DUMMYFUNCTION("""COMPUTED_VALUE"""),"Carlin")</f>
        <v>Carlin</v>
      </c>
      <c r="C100" s="17" t="str">
        <f>IFERROR(__xludf.DUMMYFUNCTION("""COMPUTED_VALUE"""),"Demke")</f>
        <v>Demke</v>
      </c>
      <c r="D100" s="17" t="str">
        <f>IFERROR(__xludf.DUMMYFUNCTION("""COMPUTED_VALUE"""),"Business Development")</f>
        <v>Business Development</v>
      </c>
      <c r="E100" s="24">
        <f>IFERROR(__xludf.DUMMYFUNCTION("""COMPUTED_VALUE"""),110042.37)</f>
        <v>110042.37</v>
      </c>
    </row>
    <row r="101" ht="14.25" customHeight="1">
      <c r="A101" s="17" t="str">
        <f>IFERROR(__xludf.DUMMYFUNCTION("""COMPUTED_VALUE"""),"SQ03116")</f>
        <v>SQ03116</v>
      </c>
      <c r="B101" s="17" t="str">
        <f>IFERROR(__xludf.DUMMYFUNCTION("""COMPUTED_VALUE"""),"Syd")</f>
        <v>Syd</v>
      </c>
      <c r="C101" s="17" t="str">
        <f>IFERROR(__xludf.DUMMYFUNCTION("""COMPUTED_VALUE"""),"Fearn")</f>
        <v>Fearn</v>
      </c>
      <c r="D101" s="17" t="str">
        <f>IFERROR(__xludf.DUMMYFUNCTION("""COMPUTED_VALUE"""),"Engineering")</f>
        <v>Engineering</v>
      </c>
      <c r="E101" s="24">
        <f>IFERROR(__xludf.DUMMYFUNCTION("""COMPUTED_VALUE"""),108872.77)</f>
        <v>108872.77</v>
      </c>
    </row>
    <row r="102" ht="14.25" customHeight="1">
      <c r="A102" s="17" t="str">
        <f>IFERROR(__xludf.DUMMYFUNCTION("""COMPUTED_VALUE"""),"VT04552")</f>
        <v>VT04552</v>
      </c>
      <c r="B102" s="17" t="str">
        <f>IFERROR(__xludf.DUMMYFUNCTION("""COMPUTED_VALUE"""),"Theresita")</f>
        <v>Theresita</v>
      </c>
      <c r="C102" s="17" t="str">
        <f>IFERROR(__xludf.DUMMYFUNCTION("""COMPUTED_VALUE"""),"Chasmer")</f>
        <v>Chasmer</v>
      </c>
      <c r="D102" s="17" t="str">
        <f>IFERROR(__xludf.DUMMYFUNCTION("""COMPUTED_VALUE"""),"Product Management")</f>
        <v>Product Management</v>
      </c>
      <c r="E102" s="24">
        <f>IFERROR(__xludf.DUMMYFUNCTION("""COMPUTED_VALUE"""),106665.67)</f>
        <v>106665.67</v>
      </c>
    </row>
    <row r="103" ht="14.25" customHeight="1">
      <c r="A103" s="17" t="str">
        <f>IFERROR(__xludf.DUMMYFUNCTION("""COMPUTED_VALUE"""),"VT01893")</f>
        <v>VT01893</v>
      </c>
      <c r="B103" s="17" t="str">
        <f>IFERROR(__xludf.DUMMYFUNCTION("""COMPUTED_VALUE"""),"Lindy")</f>
        <v>Lindy</v>
      </c>
      <c r="C103" s="17" t="str">
        <f>IFERROR(__xludf.DUMMYFUNCTION("""COMPUTED_VALUE"""),"Guillet")</f>
        <v>Guillet</v>
      </c>
      <c r="D103" s="17" t="str">
        <f>IFERROR(__xludf.DUMMYFUNCTION("""COMPUTED_VALUE"""),"Training")</f>
        <v>Training</v>
      </c>
      <c r="E103" s="24">
        <f>IFERROR(__xludf.DUMMYFUNCTION("""COMPUTED_VALUE"""),112778.28)</f>
        <v>112778.28</v>
      </c>
    </row>
    <row r="104" ht="14.25" customHeight="1">
      <c r="A104" s="17" t="str">
        <f>IFERROR(__xludf.DUMMYFUNCTION("""COMPUTED_VALUE"""),"PR03886")</f>
        <v>PR03886</v>
      </c>
      <c r="B104" s="17" t="str">
        <f>IFERROR(__xludf.DUMMYFUNCTION("""COMPUTED_VALUE"""),"Edd")</f>
        <v>Edd</v>
      </c>
      <c r="C104" s="17" t="str">
        <f>IFERROR(__xludf.DUMMYFUNCTION("""COMPUTED_VALUE"""),"MacKnockiter")</f>
        <v>MacKnockiter</v>
      </c>
      <c r="D104" s="17" t="str">
        <f>IFERROR(__xludf.DUMMYFUNCTION("""COMPUTED_VALUE"""),"Accounting")</f>
        <v>Accounting</v>
      </c>
      <c r="E104" s="24">
        <f>IFERROR(__xludf.DUMMYFUNCTION("""COMPUTED_VALUE"""),119022.49)</f>
        <v>119022.49</v>
      </c>
    </row>
    <row r="105" ht="14.25" customHeight="1">
      <c r="A105" s="17" t="str">
        <f>IFERROR(__xludf.DUMMYFUNCTION("""COMPUTED_VALUE"""),"PR00746")</f>
        <v>PR00746</v>
      </c>
      <c r="B105" s="17" t="str">
        <f>IFERROR(__xludf.DUMMYFUNCTION("""COMPUTED_VALUE"""),"Hogan")</f>
        <v>Hogan</v>
      </c>
      <c r="C105" s="17" t="str">
        <f>IFERROR(__xludf.DUMMYFUNCTION("""COMPUTED_VALUE"""),"Iles")</f>
        <v>Iles</v>
      </c>
      <c r="D105" s="17" t="str">
        <f>IFERROR(__xludf.DUMMYFUNCTION("""COMPUTED_VALUE"""),"Accounting")</f>
        <v>Accounting</v>
      </c>
      <c r="E105" s="24">
        <f>IFERROR(__xludf.DUMMYFUNCTION("""COMPUTED_VALUE"""),114177.23)</f>
        <v>114177.23</v>
      </c>
    </row>
    <row r="106" ht="14.25" customHeight="1">
      <c r="A106" s="17" t="str">
        <f>IFERROR(__xludf.DUMMYFUNCTION("""COMPUTED_VALUE"""),"SQ02703")</f>
        <v>SQ02703</v>
      </c>
      <c r="B106" s="17" t="str">
        <f>IFERROR(__xludf.DUMMYFUNCTION("""COMPUTED_VALUE"""),"Deepit")</f>
        <v>Deepit</v>
      </c>
      <c r="C106" s="17" t="str">
        <f>IFERROR(__xludf.DUMMYFUNCTION("""COMPUTED_VALUE"""),"Ranjana")</f>
        <v>Ranjana</v>
      </c>
      <c r="D106" s="17" t="str">
        <f>IFERROR(__xludf.DUMMYFUNCTION("""COMPUTED_VALUE"""),"Marketing")</f>
        <v>Marketing</v>
      </c>
      <c r="E106" s="24">
        <f>IFERROR(__xludf.DUMMYFUNCTION("""COMPUTED_VALUE"""),104903.79)</f>
        <v>104903.79</v>
      </c>
    </row>
    <row r="107" ht="14.25" customHeight="1">
      <c r="A107" s="17" t="str">
        <f>IFERROR(__xludf.DUMMYFUNCTION("""COMPUTED_VALUE"""),"SQ03733")</f>
        <v>SQ03733</v>
      </c>
      <c r="B107" s="17" t="str">
        <f>IFERROR(__xludf.DUMMYFUNCTION("""COMPUTED_VALUE"""),"Revkah")</f>
        <v>Revkah</v>
      </c>
      <c r="C107" s="17" t="str">
        <f>IFERROR(__xludf.DUMMYFUNCTION("""COMPUTED_VALUE"""),"Antonacci")</f>
        <v>Antonacci</v>
      </c>
      <c r="D107" s="17" t="str">
        <f>IFERROR(__xludf.DUMMYFUNCTION("""COMPUTED_VALUE"""),"Engineering")</f>
        <v>Engineering</v>
      </c>
      <c r="E107" s="24">
        <f>IFERROR(__xludf.DUMMYFUNCTION("""COMPUTED_VALUE"""),109143.17)</f>
        <v>109143.17</v>
      </c>
    </row>
    <row r="108" ht="14.25" customHeight="1">
      <c r="A108" s="17" t="str">
        <f>IFERROR(__xludf.DUMMYFUNCTION("""COMPUTED_VALUE"""),"TN00579")</f>
        <v>TN00579</v>
      </c>
      <c r="B108" s="17" t="str">
        <f>IFERROR(__xludf.DUMMYFUNCTION("""COMPUTED_VALUE"""),"Rafaelita")</f>
        <v>Rafaelita</v>
      </c>
      <c r="C108" s="17" t="str">
        <f>IFERROR(__xludf.DUMMYFUNCTION("""COMPUTED_VALUE"""),"Blaksland")</f>
        <v>Blaksland</v>
      </c>
      <c r="D108" s="17" t="str">
        <f>IFERROR(__xludf.DUMMYFUNCTION("""COMPUTED_VALUE"""),"Services")</f>
        <v>Services</v>
      </c>
      <c r="E108" s="24">
        <f>IFERROR(__xludf.DUMMYFUNCTION("""COMPUTED_VALUE"""),109163.39)</f>
        <v>109163.39</v>
      </c>
    </row>
    <row r="109" ht="14.25" customHeight="1">
      <c r="A109" s="17" t="str">
        <f>IFERROR(__xludf.DUMMYFUNCTION("""COMPUTED_VALUE"""),"SQ02174")</f>
        <v>SQ02174</v>
      </c>
      <c r="B109" s="17" t="str">
        <f>IFERROR(__xludf.DUMMYFUNCTION("""COMPUTED_VALUE"""),"Sidoney")</f>
        <v>Sidoney</v>
      </c>
      <c r="C109" s="17" t="str">
        <f>IFERROR(__xludf.DUMMYFUNCTION("""COMPUTED_VALUE"""),"Yitzhok")</f>
        <v>Yitzhok</v>
      </c>
      <c r="D109" s="17" t="str">
        <f>IFERROR(__xludf.DUMMYFUNCTION("""COMPUTED_VALUE"""),"Engineering")</f>
        <v>Engineering</v>
      </c>
      <c r="E109" s="24">
        <f>IFERROR(__xludf.DUMMYFUNCTION("""COMPUTED_VALUE"""),118442.54)</f>
        <v>118442.54</v>
      </c>
    </row>
    <row r="110" ht="14.25" customHeight="1">
      <c r="A110" s="17" t="str">
        <f>IFERROR(__xludf.DUMMYFUNCTION("""COMPUTED_VALUE"""),"VT01762")</f>
        <v>VT01762</v>
      </c>
      <c r="B110" s="17" t="str">
        <f>IFERROR(__xludf.DUMMYFUNCTION("""COMPUTED_VALUE"""),"Geena")</f>
        <v>Geena</v>
      </c>
      <c r="C110" s="17" t="str">
        <f>IFERROR(__xludf.DUMMYFUNCTION("""COMPUTED_VALUE"""),"Raghavanpillai")</f>
        <v>Raghavanpillai</v>
      </c>
      <c r="D110" s="17" t="str">
        <f>IFERROR(__xludf.DUMMYFUNCTION("""COMPUTED_VALUE"""),"Accounting")</f>
        <v>Accounting</v>
      </c>
      <c r="E110" s="24">
        <f>IFERROR(__xludf.DUMMYFUNCTION("""COMPUTED_VALUE"""),102515.81)</f>
        <v>102515.81</v>
      </c>
    </row>
    <row r="111" ht="14.25" customHeight="1">
      <c r="A111" s="17" t="str">
        <f>IFERROR(__xludf.DUMMYFUNCTION("""COMPUTED_VALUE"""),"VT04093")</f>
        <v>VT04093</v>
      </c>
      <c r="B111" s="17" t="str">
        <f>IFERROR(__xludf.DUMMYFUNCTION("""COMPUTED_VALUE"""),"Baruna")</f>
        <v>Baruna</v>
      </c>
      <c r="C111" s="17" t="str">
        <f>IFERROR(__xludf.DUMMYFUNCTION("""COMPUTED_VALUE"""),"Ogale")</f>
        <v>Ogale</v>
      </c>
      <c r="D111" s="17" t="str">
        <f>IFERROR(__xludf.DUMMYFUNCTION("""COMPUTED_VALUE"""),"Training")</f>
        <v>Training</v>
      </c>
      <c r="E111" s="24">
        <f>IFERROR(__xludf.DUMMYFUNCTION("""COMPUTED_VALUE"""),116767.63)</f>
        <v>116767.63</v>
      </c>
    </row>
    <row r="112" ht="14.25" customHeight="1">
      <c r="A112" s="17" t="str">
        <f>IFERROR(__xludf.DUMMYFUNCTION("""COMPUTED_VALUE"""),"VT04350")</f>
        <v>VT04350</v>
      </c>
      <c r="B112" s="17" t="str">
        <f>IFERROR(__xludf.DUMMYFUNCTION("""COMPUTED_VALUE"""),"Kulbhushan")</f>
        <v>Kulbhushan</v>
      </c>
      <c r="C112" s="17" t="str">
        <f>IFERROR(__xludf.DUMMYFUNCTION("""COMPUTED_VALUE"""),"Moorthy")</f>
        <v>Moorthy</v>
      </c>
      <c r="D112" s="17" t="str">
        <f>IFERROR(__xludf.DUMMYFUNCTION("""COMPUTED_VALUE"""),"Business Development")</f>
        <v>Business Development</v>
      </c>
      <c r="E112" s="24">
        <f>IFERROR(__xludf.DUMMYFUNCTION("""COMPUTED_VALUE"""),106400.02)</f>
        <v>106400.02</v>
      </c>
    </row>
    <row r="113" ht="14.25" customHeight="1">
      <c r="A113" s="17" t="str">
        <f>IFERROR(__xludf.DUMMYFUNCTION("""COMPUTED_VALUE"""),"SQ02035")</f>
        <v>SQ02035</v>
      </c>
      <c r="B113" s="17" t="str">
        <f>IFERROR(__xludf.DUMMYFUNCTION("""COMPUTED_VALUE"""),"Anni")</f>
        <v>Anni</v>
      </c>
      <c r="C113" s="17" t="str">
        <f>IFERROR(__xludf.DUMMYFUNCTION("""COMPUTED_VALUE"""),"Izzard")</f>
        <v>Izzard</v>
      </c>
      <c r="D113" s="17" t="str">
        <f>IFERROR(__xludf.DUMMYFUNCTION("""COMPUTED_VALUE"""),"Human Resources")</f>
        <v>Human Resources</v>
      </c>
      <c r="E113" s="24">
        <f>IFERROR(__xludf.DUMMYFUNCTION("""COMPUTED_VALUE"""),103494.94)</f>
        <v>103494.94</v>
      </c>
    </row>
    <row r="114" ht="14.25" customHeight="1">
      <c r="A114" s="17" t="str">
        <f>IFERROR(__xludf.DUMMYFUNCTION("""COMPUTED_VALUE"""),"SQ02035")</f>
        <v>SQ02035</v>
      </c>
      <c r="B114" s="17" t="str">
        <f>IFERROR(__xludf.DUMMYFUNCTION("""COMPUTED_VALUE"""),"Anni")</f>
        <v>Anni</v>
      </c>
      <c r="C114" s="17" t="str">
        <f>IFERROR(__xludf.DUMMYFUNCTION("""COMPUTED_VALUE"""),"Izzard")</f>
        <v>Izzard</v>
      </c>
      <c r="D114" s="17" t="str">
        <f>IFERROR(__xludf.DUMMYFUNCTION("""COMPUTED_VALUE"""),"Human Resources")</f>
        <v>Human Resources</v>
      </c>
      <c r="E114" s="24">
        <f>IFERROR(__xludf.DUMMYFUNCTION("""COMPUTED_VALUE"""),103494.94)</f>
        <v>103494.94</v>
      </c>
    </row>
    <row r="115" ht="14.25" customHeight="1">
      <c r="A115" s="17" t="str">
        <f>IFERROR(__xludf.DUMMYFUNCTION("""COMPUTED_VALUE"""),"VT04350")</f>
        <v>VT04350</v>
      </c>
      <c r="B115" s="17" t="str">
        <f>IFERROR(__xludf.DUMMYFUNCTION("""COMPUTED_VALUE"""),"Lalit")</f>
        <v>Lalit</v>
      </c>
      <c r="C115" s="17" t="str">
        <f>IFERROR(__xludf.DUMMYFUNCTION("""COMPUTED_VALUE"""),"Kothari")</f>
        <v>Kothari</v>
      </c>
      <c r="D115" s="17" t="str">
        <f>IFERROR(__xludf.DUMMYFUNCTION("""COMPUTED_VALUE"""),"Business Development")</f>
        <v>Business Development</v>
      </c>
      <c r="E115" s="24">
        <f>IFERROR(__xludf.DUMMYFUNCTION("""COMPUTED_VALUE"""),106400.02)</f>
        <v>106400.02</v>
      </c>
    </row>
    <row r="116" ht="14.25" customHeight="1">
      <c r="A116" s="17" t="str">
        <f>IFERROR(__xludf.DUMMYFUNCTION("""COMPUTED_VALUE"""),"SQ02624")</f>
        <v>SQ02624</v>
      </c>
      <c r="B116" s="17" t="str">
        <f>IFERROR(__xludf.DUMMYFUNCTION("""COMPUTED_VALUE"""),"Gwenneth")</f>
        <v>Gwenneth</v>
      </c>
      <c r="C116" s="17" t="str">
        <f>IFERROR(__xludf.DUMMYFUNCTION("""COMPUTED_VALUE"""),"Fealey")</f>
        <v>Fealey</v>
      </c>
      <c r="D116" s="17" t="str">
        <f>IFERROR(__xludf.DUMMYFUNCTION("""COMPUTED_VALUE"""),"Engineering")</f>
        <v>Engineering</v>
      </c>
      <c r="E116" s="24">
        <f>IFERROR(__xludf.DUMMYFUNCTION("""COMPUTED_VALUE"""),114772.32)</f>
        <v>114772.32</v>
      </c>
    </row>
    <row r="117" ht="14.25" customHeight="1">
      <c r="A117" s="17" t="str">
        <f>IFERROR(__xludf.DUMMYFUNCTION("""COMPUTED_VALUE"""),"VT03421")</f>
        <v>VT03421</v>
      </c>
      <c r="B117" s="17" t="str">
        <f>IFERROR(__xludf.DUMMYFUNCTION("""COMPUTED_VALUE"""),"Alic")</f>
        <v>Alic</v>
      </c>
      <c r="C117" s="17" t="str">
        <f>IFERROR(__xludf.DUMMYFUNCTION("""COMPUTED_VALUE"""),"Bagg")</f>
        <v>Bagg</v>
      </c>
      <c r="D117" s="17" t="str">
        <f>IFERROR(__xludf.DUMMYFUNCTION("""COMPUTED_VALUE"""),"Legal")</f>
        <v>Legal</v>
      </c>
      <c r="E117" s="24">
        <f>IFERROR(__xludf.DUMMYFUNCTION("""COMPUTED_VALUE"""),113747.56)</f>
        <v>113747.56</v>
      </c>
    </row>
    <row r="118" ht="14.25" customHeight="1"/>
    <row r="119" ht="14.25" customHeight="1"/>
    <row r="120" ht="14.25" customHeight="1">
      <c r="A120" s="14" t="s">
        <v>503</v>
      </c>
      <c r="B120" s="11"/>
      <c r="C120" s="11"/>
      <c r="D120" s="11"/>
      <c r="E120" s="11"/>
      <c r="F120" s="11"/>
    </row>
    <row r="121" ht="14.25" customHeight="1"/>
    <row r="122" ht="14.25" customHeight="1">
      <c r="A122" s="25" t="str">
        <f>Staff[#HEADERS]</f>
        <v>Emp ID</v>
      </c>
      <c r="B122" s="25" t="str">
        <f>Staff[#HEADERS]</f>
        <v>First Name</v>
      </c>
      <c r="C122" s="25" t="str">
        <f>Staff[#HEADERS]</f>
        <v>Last Name</v>
      </c>
      <c r="D122" s="25" t="str">
        <f>Staff[#HEADERS]</f>
        <v>Gender</v>
      </c>
      <c r="E122" s="25" t="str">
        <f>Staff[#HEADERS]</f>
        <v>Department</v>
      </c>
      <c r="F122" s="25" t="str">
        <f>Staff[#HEADERS]</f>
        <v>Salary</v>
      </c>
    </row>
    <row r="123" ht="14.25" customHeight="1">
      <c r="A123" s="26" t="str">
        <f>IFERROR(__xludf.DUMMYFUNCTION("FILTER(Staff[[Emp ID]:[Salary]], (Staff[Salary]&gt;E73) * (Staff[Gender]=""Female"") * (YEAR(Staff[Start Date])&gt;=2020))"),"SQ04612")</f>
        <v>SQ04612</v>
      </c>
      <c r="B123" s="26" t="str">
        <f>IFERROR(__xludf.DUMMYFUNCTION("""COMPUTED_VALUE"""),"Mick")</f>
        <v>Mick</v>
      </c>
      <c r="C123" s="26" t="str">
        <f>IFERROR(__xludf.DUMMYFUNCTION("""COMPUTED_VALUE"""),"Spraberry")</f>
        <v>Spraberry</v>
      </c>
      <c r="D123" s="26" t="str">
        <f>IFERROR(__xludf.DUMMYFUNCTION("""COMPUTED_VALUE"""),"Female")</f>
        <v>Female</v>
      </c>
      <c r="E123" s="26" t="str">
        <f>IFERROR(__xludf.DUMMYFUNCTION("""COMPUTED_VALUE"""),"Services")</f>
        <v>Services</v>
      </c>
      <c r="F123" s="27">
        <f>IFERROR(__xludf.DUMMYFUNCTION("""COMPUTED_VALUE"""),120000.0)</f>
        <v>120000</v>
      </c>
    </row>
    <row r="124" ht="14.25" customHeight="1">
      <c r="A124" s="26" t="str">
        <f>IFERROR(__xludf.DUMMYFUNCTION("""COMPUTED_VALUE"""),"TN01281")</f>
        <v>TN01281</v>
      </c>
      <c r="B124" s="26" t="str">
        <f>IFERROR(__xludf.DUMMYFUNCTION("""COMPUTED_VALUE"""),"Cletus")</f>
        <v>Cletus</v>
      </c>
      <c r="C124" s="26" t="str">
        <f>IFERROR(__xludf.DUMMYFUNCTION("""COMPUTED_VALUE"""),"McGarahan")</f>
        <v>McGarahan</v>
      </c>
      <c r="D124" s="26" t="str">
        <f>IFERROR(__xludf.DUMMYFUNCTION("""COMPUTED_VALUE"""),"Female")</f>
        <v>Female</v>
      </c>
      <c r="E124" s="26" t="str">
        <f>IFERROR(__xludf.DUMMYFUNCTION("""COMPUTED_VALUE"""),"Engineering")</f>
        <v>Engineering</v>
      </c>
      <c r="F124" s="27">
        <f>IFERROR(__xludf.DUMMYFUNCTION("""COMPUTED_VALUE"""),114425.19)</f>
        <v>114425.19</v>
      </c>
    </row>
    <row r="125" ht="14.25" customHeight="1">
      <c r="A125" s="26" t="str">
        <f>IFERROR(__xludf.DUMMYFUNCTION("""COMPUTED_VALUE"""),"PR02208")</f>
        <v>PR02208</v>
      </c>
      <c r="B125" s="26" t="str">
        <f>IFERROR(__xludf.DUMMYFUNCTION("""COMPUTED_VALUE"""),"Gowri")</f>
        <v>Gowri</v>
      </c>
      <c r="C125" s="26" t="str">
        <f>IFERROR(__xludf.DUMMYFUNCTION("""COMPUTED_VALUE"""),"Sankar")</f>
        <v>Sankar</v>
      </c>
      <c r="D125" s="26" t="str">
        <f>IFERROR(__xludf.DUMMYFUNCTION("""COMPUTED_VALUE"""),"Female")</f>
        <v>Female</v>
      </c>
      <c r="E125" s="26" t="str">
        <f>IFERROR(__xludf.DUMMYFUNCTION("""COMPUTED_VALUE"""),"Training")</f>
        <v>Training</v>
      </c>
      <c r="F125" s="27">
        <f>IFERROR(__xludf.DUMMYFUNCTION("""COMPUTED_VALUE"""),102934.09)</f>
        <v>102934.09</v>
      </c>
    </row>
    <row r="126" ht="14.25" customHeight="1">
      <c r="A126" s="26" t="str">
        <f>IFERROR(__xludf.DUMMYFUNCTION("""COMPUTED_VALUE"""),"VT04093")</f>
        <v>VT04093</v>
      </c>
      <c r="B126" s="26" t="str">
        <f>IFERROR(__xludf.DUMMYFUNCTION("""COMPUTED_VALUE"""),"Prasanna")</f>
        <v>Prasanna</v>
      </c>
      <c r="C126" s="26" t="str">
        <f>IFERROR(__xludf.DUMMYFUNCTION("""COMPUTED_VALUE"""),"Lakshmi")</f>
        <v>Lakshmi</v>
      </c>
      <c r="D126" s="26" t="str">
        <f>IFERROR(__xludf.DUMMYFUNCTION("""COMPUTED_VALUE"""),"Female")</f>
        <v>Female</v>
      </c>
      <c r="E126" s="26" t="str">
        <f>IFERROR(__xludf.DUMMYFUNCTION("""COMPUTED_VALUE"""),"Training")</f>
        <v>Training</v>
      </c>
      <c r="F126" s="27">
        <f>IFERROR(__xludf.DUMMYFUNCTION("""COMPUTED_VALUE"""),116767.63)</f>
        <v>116767.63</v>
      </c>
    </row>
    <row r="127" ht="14.25" customHeight="1">
      <c r="A127" s="26" t="str">
        <f>IFERROR(__xludf.DUMMYFUNCTION("""COMPUTED_VALUE"""),"SQ00498")</f>
        <v>SQ00498</v>
      </c>
      <c r="B127" s="26" t="str">
        <f>IFERROR(__xludf.DUMMYFUNCTION("""COMPUTED_VALUE"""),"Amery")</f>
        <v>Amery</v>
      </c>
      <c r="C127" s="26" t="str">
        <f>IFERROR(__xludf.DUMMYFUNCTION("""COMPUTED_VALUE"""),"Ofer")</f>
        <v>Ofer</v>
      </c>
      <c r="D127" s="26" t="str">
        <f>IFERROR(__xludf.DUMMYFUNCTION("""COMPUTED_VALUE"""),"Female")</f>
        <v>Female</v>
      </c>
      <c r="E127" s="26" t="str">
        <f>IFERROR(__xludf.DUMMYFUNCTION("""COMPUTED_VALUE"""),"Legal")</f>
        <v>Legal</v>
      </c>
      <c r="F127" s="27">
        <f>IFERROR(__xludf.DUMMYFUNCTION("""COMPUTED_VALUE"""),111049.84)</f>
        <v>111049.84</v>
      </c>
    </row>
    <row r="128" ht="14.25" customHeight="1">
      <c r="A128" s="26" t="str">
        <f>IFERROR(__xludf.DUMMYFUNCTION("""COMPUTED_VALUE"""),"PR00746")</f>
        <v>PR00746</v>
      </c>
      <c r="B128" s="26" t="str">
        <f>IFERROR(__xludf.DUMMYFUNCTION("""COMPUTED_VALUE"""),"Hogan")</f>
        <v>Hogan</v>
      </c>
      <c r="C128" s="26" t="str">
        <f>IFERROR(__xludf.DUMMYFUNCTION("""COMPUTED_VALUE"""),"Iles")</f>
        <v>Iles</v>
      </c>
      <c r="D128" s="26" t="str">
        <f>IFERROR(__xludf.DUMMYFUNCTION("""COMPUTED_VALUE"""),"Female")</f>
        <v>Female</v>
      </c>
      <c r="E128" s="26" t="str">
        <f>IFERROR(__xludf.DUMMYFUNCTION("""COMPUTED_VALUE"""),"Accounting")</f>
        <v>Accounting</v>
      </c>
      <c r="F128" s="27">
        <f>IFERROR(__xludf.DUMMYFUNCTION("""COMPUTED_VALUE"""),114177.23)</f>
        <v>114177.23</v>
      </c>
    </row>
    <row r="129" ht="14.25" customHeight="1">
      <c r="A129" s="26" t="str">
        <f>IFERROR(__xludf.DUMMYFUNCTION("""COMPUTED_VALUE"""),"TN00579")</f>
        <v>TN00579</v>
      </c>
      <c r="B129" s="26" t="str">
        <f>IFERROR(__xludf.DUMMYFUNCTION("""COMPUTED_VALUE"""),"Rafaelita")</f>
        <v>Rafaelita</v>
      </c>
      <c r="C129" s="26" t="str">
        <f>IFERROR(__xludf.DUMMYFUNCTION("""COMPUTED_VALUE"""),"Blaksland")</f>
        <v>Blaksland</v>
      </c>
      <c r="D129" s="26" t="str">
        <f>IFERROR(__xludf.DUMMYFUNCTION("""COMPUTED_VALUE"""),"Female")</f>
        <v>Female</v>
      </c>
      <c r="E129" s="26" t="str">
        <f>IFERROR(__xludf.DUMMYFUNCTION("""COMPUTED_VALUE"""),"Services")</f>
        <v>Services</v>
      </c>
      <c r="F129" s="27">
        <f>IFERROR(__xludf.DUMMYFUNCTION("""COMPUTED_VALUE"""),109163.39)</f>
        <v>109163.39</v>
      </c>
    </row>
    <row r="130" ht="14.25" customHeight="1">
      <c r="A130" s="26" t="str">
        <f>IFERROR(__xludf.DUMMYFUNCTION("""COMPUTED_VALUE"""),"SQ02174")</f>
        <v>SQ02174</v>
      </c>
      <c r="B130" s="26" t="str">
        <f>IFERROR(__xludf.DUMMYFUNCTION("""COMPUTED_VALUE"""),"Sidoney")</f>
        <v>Sidoney</v>
      </c>
      <c r="C130" s="26" t="str">
        <f>IFERROR(__xludf.DUMMYFUNCTION("""COMPUTED_VALUE"""),"Yitzhok")</f>
        <v>Yitzhok</v>
      </c>
      <c r="D130" s="26" t="str">
        <f>IFERROR(__xludf.DUMMYFUNCTION("""COMPUTED_VALUE"""),"Female")</f>
        <v>Female</v>
      </c>
      <c r="E130" s="26" t="str">
        <f>IFERROR(__xludf.DUMMYFUNCTION("""COMPUTED_VALUE"""),"Engineering")</f>
        <v>Engineering</v>
      </c>
      <c r="F130" s="27">
        <f>IFERROR(__xludf.DUMMYFUNCTION("""COMPUTED_VALUE"""),118442.54)</f>
        <v>118442.54</v>
      </c>
    </row>
    <row r="131" ht="14.25" customHeight="1">
      <c r="A131" s="26" t="str">
        <f>IFERROR(__xludf.DUMMYFUNCTION("""COMPUTED_VALUE"""),"VT04093")</f>
        <v>VT04093</v>
      </c>
      <c r="B131" s="26" t="str">
        <f>IFERROR(__xludf.DUMMYFUNCTION("""COMPUTED_VALUE"""),"Baruna")</f>
        <v>Baruna</v>
      </c>
      <c r="C131" s="26" t="str">
        <f>IFERROR(__xludf.DUMMYFUNCTION("""COMPUTED_VALUE"""),"Ogale")</f>
        <v>Ogale</v>
      </c>
      <c r="D131" s="26" t="str">
        <f>IFERROR(__xludf.DUMMYFUNCTION("""COMPUTED_VALUE"""),"Female")</f>
        <v>Female</v>
      </c>
      <c r="E131" s="26" t="str">
        <f>IFERROR(__xludf.DUMMYFUNCTION("""COMPUTED_VALUE"""),"Training")</f>
        <v>Training</v>
      </c>
      <c r="F131" s="27">
        <f>IFERROR(__xludf.DUMMYFUNCTION("""COMPUTED_VALUE"""),116767.63)</f>
        <v>116767.63</v>
      </c>
    </row>
    <row r="132" ht="14.25" customHeight="1">
      <c r="A132" s="26" t="str">
        <f>IFERROR(__xludf.DUMMYFUNCTION("""COMPUTED_VALUE"""),"SQ02624")</f>
        <v>SQ02624</v>
      </c>
      <c r="B132" s="26" t="str">
        <f>IFERROR(__xludf.DUMMYFUNCTION("""COMPUTED_VALUE"""),"Gwenneth")</f>
        <v>Gwenneth</v>
      </c>
      <c r="C132" s="26" t="str">
        <f>IFERROR(__xludf.DUMMYFUNCTION("""COMPUTED_VALUE"""),"Fealey")</f>
        <v>Fealey</v>
      </c>
      <c r="D132" s="26" t="str">
        <f>IFERROR(__xludf.DUMMYFUNCTION("""COMPUTED_VALUE"""),"Female")</f>
        <v>Female</v>
      </c>
      <c r="E132" s="26" t="str">
        <f>IFERROR(__xludf.DUMMYFUNCTION("""COMPUTED_VALUE"""),"Engineering")</f>
        <v>Engineering</v>
      </c>
      <c r="F132" s="27">
        <f>IFERROR(__xludf.DUMMYFUNCTION("""COMPUTED_VALUE"""),114772.32)</f>
        <v>114772.32</v>
      </c>
    </row>
    <row r="133" ht="14.25" customHeight="1"/>
    <row r="134" ht="14.25" customHeight="1"/>
    <row r="135" ht="14.25" customHeight="1">
      <c r="A135" s="14" t="s">
        <v>521</v>
      </c>
      <c r="B135" s="11"/>
      <c r="C135" s="11"/>
      <c r="D135" s="11"/>
      <c r="E135" s="11"/>
      <c r="F135" s="11"/>
    </row>
    <row r="136" ht="14.25" customHeight="1">
      <c r="D136" s="28" t="s">
        <v>525</v>
      </c>
    </row>
    <row r="137" ht="14.25" customHeight="1">
      <c r="A137" s="29" t="s">
        <v>526</v>
      </c>
      <c r="B137" s="30" t="s">
        <v>527</v>
      </c>
      <c r="C137" s="30" t="s">
        <v>30</v>
      </c>
      <c r="D137" s="30" t="s">
        <v>45</v>
      </c>
      <c r="F137" s="20" t="s">
        <v>468</v>
      </c>
      <c r="G137" s="21">
        <v>5.0</v>
      </c>
      <c r="O137" s="31">
        <v>1.0</v>
      </c>
    </row>
    <row r="138" ht="14.25" customHeight="1">
      <c r="A138" s="32" t="s">
        <v>531</v>
      </c>
      <c r="B138" s="33">
        <f>MAX(Staff[Salary])</f>
        <v>120000</v>
      </c>
      <c r="C138" s="33">
        <f>MAXIFS(Staff[Salary],Staff[Gender],Salary_by_Gender[[#HEADERS],[Male]])</f>
        <v>120000</v>
      </c>
      <c r="D138" s="33">
        <f>MAXIFS(Staff[Salary],Staff[Gender],Salary_by_Gender[[#HEADERS],[Female]])</f>
        <v>120000</v>
      </c>
      <c r="O138" s="31">
        <v>2.0</v>
      </c>
    </row>
    <row r="139" ht="14.25" customHeight="1">
      <c r="A139" s="32" t="s">
        <v>541</v>
      </c>
      <c r="B139" s="33">
        <f>MIN(Staff[Salary])</f>
        <v>28160.79</v>
      </c>
      <c r="C139" s="33">
        <f>MINIFS(Staff[Salary],Staff[Gender],Salary_by_Gender[[#HEADERS],[Male]])</f>
        <v>28160.79</v>
      </c>
      <c r="D139" s="33">
        <f>MINIFS(Staff[Salary],Staff[Gender],Salary_by_Gender[[#HEADERS],[Female]])</f>
        <v>28305.08</v>
      </c>
      <c r="O139" s="31">
        <v>3.0</v>
      </c>
    </row>
    <row r="140" ht="14.25" customHeight="1">
      <c r="A140" s="34" t="s">
        <v>545</v>
      </c>
      <c r="B140" s="35">
        <f>LARGE(Staff[Salary],O137)</f>
        <v>120000</v>
      </c>
      <c r="C140" s="35">
        <f>IFERROR(__xludf.DUMMYFUNCTION("LARGE(FILTER(Staff[Salary], Staff[Gender] = ""Male""),O$137)"),120000.0)</f>
        <v>120000</v>
      </c>
      <c r="D140" s="35">
        <f>IFERROR(__xludf.DUMMYFUNCTION("LARGE(FILTER(Staff[Salary],Staff[Gender]=Salary_by_Gender[[#HEADERS],[Female]]), O137)"),120000.0)</f>
        <v>120000</v>
      </c>
      <c r="O140" s="31">
        <v>4.0</v>
      </c>
    </row>
    <row r="141" ht="14.25" customHeight="1">
      <c r="A141" s="34"/>
      <c r="B141" s="35">
        <f>LARGE(Staff[Salary],O138)</f>
        <v>120000</v>
      </c>
      <c r="C141" s="35">
        <f>IFERROR(__xludf.DUMMYFUNCTION("LARGE(FILTER(Staff[Salary], Staff[Gender] = ""Male""),O138)"),119022.49)</f>
        <v>119022.49</v>
      </c>
      <c r="D141" s="35">
        <f>IFERROR(__xludf.DUMMYFUNCTION("LARGE(FILTER(Staff[Salary],Staff[Gender]=Salary_by_Gender[[#HEADERS],[Female]]), O138)"),118442.54)</f>
        <v>118442.54</v>
      </c>
      <c r="O141" s="31">
        <v>5.0</v>
      </c>
    </row>
    <row r="142" ht="14.25" customHeight="1">
      <c r="A142" s="34"/>
      <c r="B142" s="35">
        <f>LARGE(Staff[Salary],O139)</f>
        <v>119022.49</v>
      </c>
      <c r="C142" s="35">
        <f>IFERROR(__xludf.DUMMYFUNCTION("LARGE(FILTER(Staff[Salary], Staff[Gender] = ""Male""),O139)"),118976.16)</f>
        <v>118976.16</v>
      </c>
      <c r="D142" s="35">
        <f>IFERROR(__xludf.DUMMYFUNCTION("LARGE(FILTER(Staff[Salary],Staff[Gender]=Salary_by_Gender[[#HEADERS],[Female]]), O139)"),116767.63)</f>
        <v>116767.63</v>
      </c>
    </row>
    <row r="143" ht="14.25" customHeight="1">
      <c r="A143" s="34"/>
      <c r="B143" s="35">
        <f>LARGE(Staff[Salary],O140)</f>
        <v>118976.16</v>
      </c>
      <c r="C143" s="35">
        <f>IFERROR(__xludf.DUMMYFUNCTION("LARGE(FILTER(Staff[Salary], Staff[Gender] = ""Male""),O140)"),115191.38)</f>
        <v>115191.38</v>
      </c>
      <c r="D143" s="35">
        <f>IFERROR(__xludf.DUMMYFUNCTION("LARGE(FILTER(Staff[Salary],Staff[Gender]=Salary_by_Gender[[#HEADERS],[Female]]), O140)"),116767.63)</f>
        <v>116767.63</v>
      </c>
    </row>
    <row r="144" ht="14.25" customHeight="1">
      <c r="A144" s="34"/>
      <c r="B144" s="35">
        <f>LARGE(Staff[Salary],O141)</f>
        <v>118442.54</v>
      </c>
      <c r="C144" s="35">
        <f>IFERROR(__xludf.DUMMYFUNCTION("LARGE(FILTER(Staff[Salary], Staff[Gender] = ""Male""),O141)"),114691.03)</f>
        <v>114691.03</v>
      </c>
      <c r="D144" s="35">
        <f>IFERROR(__xludf.DUMMYFUNCTION("LARGE(FILTER(Staff[Salary],Staff[Gender]=Salary_by_Gender[[#HEADERS],[Female]]), O141)"),114772.32)</f>
        <v>114772.32</v>
      </c>
    </row>
    <row r="145" ht="14.25" customHeight="1">
      <c r="A145" s="34" t="s">
        <v>572</v>
      </c>
      <c r="B145" s="36">
        <f>IFERROR(__xludf.DUMMYFUNCTION("SORTN(Staff[Salary],G137, 0, 1, FALSE)"),120000.0)</f>
        <v>120000</v>
      </c>
      <c r="C145" s="35">
        <f>IFERROR(__xludf.DUMMYFUNCTION("SORTN(FILTER(Staff[Salary], Staff[Gender]=Salary_by_Gender[[#HEADERS],[Male]]), G137,0,1,False)"),120000.0)</f>
        <v>120000</v>
      </c>
      <c r="D145" s="35">
        <f>IFERROR(__xludf.DUMMYFUNCTION("SORTN(FILTER(Staff[Salary], Staff[Gender]=Salary_by_Gender[[#HEADERS],[Female]]), G137,0,1,False)"),120000.0)</f>
        <v>120000</v>
      </c>
    </row>
    <row r="146" ht="14.25" customHeight="1">
      <c r="A146" s="34"/>
      <c r="B146" s="36">
        <f>IFERROR(__xludf.DUMMYFUNCTION("""COMPUTED_VALUE"""),120000.0)</f>
        <v>120000</v>
      </c>
      <c r="C146" s="35">
        <f>IFERROR(__xludf.DUMMYFUNCTION("""COMPUTED_VALUE"""),119022.49)</f>
        <v>119022.49</v>
      </c>
      <c r="D146" s="35">
        <f>IFERROR(__xludf.DUMMYFUNCTION("""COMPUTED_VALUE"""),118442.54)</f>
        <v>118442.54</v>
      </c>
    </row>
    <row r="147" ht="14.25" customHeight="1">
      <c r="A147" s="34"/>
      <c r="B147" s="36">
        <f>IFERROR(__xludf.DUMMYFUNCTION("""COMPUTED_VALUE"""),119022.49)</f>
        <v>119022.49</v>
      </c>
      <c r="C147" s="35">
        <f>IFERROR(__xludf.DUMMYFUNCTION("""COMPUTED_VALUE"""),118976.16)</f>
        <v>118976.16</v>
      </c>
      <c r="D147" s="35">
        <f>IFERROR(__xludf.DUMMYFUNCTION("""COMPUTED_VALUE"""),116767.63)</f>
        <v>116767.63</v>
      </c>
    </row>
    <row r="148" ht="14.25" customHeight="1">
      <c r="A148" s="34"/>
      <c r="B148" s="36">
        <f>IFERROR(__xludf.DUMMYFUNCTION("""COMPUTED_VALUE"""),118976.16)</f>
        <v>118976.16</v>
      </c>
      <c r="C148" s="35">
        <f>IFERROR(__xludf.DUMMYFUNCTION("""COMPUTED_VALUE"""),115191.38)</f>
        <v>115191.38</v>
      </c>
      <c r="D148" s="35">
        <f>IFERROR(__xludf.DUMMYFUNCTION("""COMPUTED_VALUE"""),116767.63)</f>
        <v>116767.63</v>
      </c>
    </row>
    <row r="149" ht="14.25" customHeight="1">
      <c r="A149" s="34"/>
      <c r="B149" s="36">
        <f>IFERROR(__xludf.DUMMYFUNCTION("""COMPUTED_VALUE"""),118442.54)</f>
        <v>118442.54</v>
      </c>
      <c r="C149" s="35">
        <f>IFERROR(__xludf.DUMMYFUNCTION("""COMPUTED_VALUE"""),114691.03)</f>
        <v>114691.03</v>
      </c>
      <c r="D149" s="35">
        <f>IFERROR(__xludf.DUMMYFUNCTION("""COMPUTED_VALUE"""),114772.32)</f>
        <v>114772.32</v>
      </c>
    </row>
    <row r="150" ht="14.25" customHeight="1">
      <c r="A150" s="34"/>
      <c r="B150" s="36"/>
      <c r="C150" s="35"/>
      <c r="D150" s="35"/>
    </row>
    <row r="151" ht="14.25" customHeight="1">
      <c r="A151" s="34"/>
      <c r="B151" s="36"/>
      <c r="C151" s="35"/>
      <c r="D151" s="35"/>
    </row>
    <row r="152" ht="14.25" customHeight="1">
      <c r="A152" s="34"/>
      <c r="B152" s="36"/>
      <c r="C152" s="35"/>
      <c r="D152" s="35"/>
    </row>
    <row r="153" ht="14.25" customHeight="1"/>
    <row r="154" ht="14.25" customHeight="1"/>
    <row r="155" ht="14.25" customHeight="1"/>
    <row r="156" ht="14.25" customHeight="1">
      <c r="A156" s="14" t="s">
        <v>587</v>
      </c>
      <c r="B156" s="11"/>
      <c r="C156" s="11"/>
      <c r="D156" s="11"/>
      <c r="E156" s="11"/>
      <c r="F156" s="11"/>
    </row>
    <row r="157" ht="14.25" customHeight="1"/>
    <row r="158" ht="14.25" customHeight="1">
      <c r="A158" s="37" t="s">
        <v>589</v>
      </c>
      <c r="C158" s="38" t="s">
        <v>590</v>
      </c>
      <c r="D158" s="39">
        <f t="array" ref="D158">COUNTA(UNIQUE(Staff[Department]))</f>
        <v>12</v>
      </c>
    </row>
    <row r="159" ht="14.25" customHeight="1">
      <c r="A159" s="4" t="str">
        <f t="array" ref="A159:A170">SORT(UNIQUE(Staff[Department]))</f>
        <v>Accounting</v>
      </c>
    </row>
    <row r="160" ht="14.25" customHeight="1">
      <c r="A160" s="4" t="s">
        <v>46</v>
      </c>
      <c r="C160" s="40" t="s">
        <v>594</v>
      </c>
    </row>
    <row r="161" ht="14.25" customHeight="1">
      <c r="A161" s="4" t="s">
        <v>31</v>
      </c>
      <c r="C161" s="4" t="str">
        <f>TEXTJOIN(", ",True,A159:A170)</f>
        <v>Accounting, Business Development, Engineering, Human Resources, Legal, Marketing, Product Management, Research and Development, Sales, Services, Support, Training</v>
      </c>
    </row>
    <row r="162" ht="14.25" customHeight="1">
      <c r="A162" s="4" t="s">
        <v>155</v>
      </c>
    </row>
    <row r="163" ht="14.25" customHeight="1">
      <c r="A163" s="4" t="s">
        <v>266</v>
      </c>
    </row>
    <row r="164" ht="14.25" customHeight="1">
      <c r="A164" s="4" t="s">
        <v>103</v>
      </c>
    </row>
    <row r="165" ht="14.25" customHeight="1">
      <c r="A165" s="4" t="s">
        <v>254</v>
      </c>
    </row>
    <row r="166" ht="14.25" customHeight="1">
      <c r="A166" s="4" t="s">
        <v>115</v>
      </c>
    </row>
    <row r="167" ht="14.25" customHeight="1">
      <c r="A167" s="4" t="s">
        <v>212</v>
      </c>
    </row>
    <row r="168" ht="14.25" customHeight="1">
      <c r="A168" s="4" t="s">
        <v>57</v>
      </c>
    </row>
    <row r="169" ht="14.25" customHeight="1">
      <c r="A169" s="4" t="s">
        <v>91</v>
      </c>
    </row>
    <row r="170" ht="14.25" customHeight="1">
      <c r="A170" s="4" t="s">
        <v>65</v>
      </c>
    </row>
    <row r="171" ht="14.25" customHeight="1"/>
    <row r="172" ht="14.25" customHeight="1"/>
    <row r="173" ht="14.25" customHeight="1">
      <c r="A173" s="14" t="s">
        <v>598</v>
      </c>
      <c r="B173" s="11"/>
      <c r="C173" s="11"/>
      <c r="D173" s="11"/>
      <c r="E173" s="11"/>
      <c r="F173" s="11"/>
    </row>
    <row r="174" ht="14.25" customHeight="1"/>
    <row r="175" ht="14.25" customHeight="1">
      <c r="A175" s="41" t="s">
        <v>602</v>
      </c>
      <c r="B175" s="42" t="s">
        <v>77</v>
      </c>
      <c r="D175" s="43" t="s">
        <v>603</v>
      </c>
      <c r="E175" s="44"/>
      <c r="F175" s="44"/>
    </row>
    <row r="176" ht="14.25" customHeight="1"/>
    <row r="177" ht="14.25" customHeight="1">
      <c r="A177" s="45" t="s">
        <v>604</v>
      </c>
      <c r="D177" s="38" t="s">
        <v>605</v>
      </c>
      <c r="E177" s="38">
        <v>120000.0</v>
      </c>
    </row>
    <row r="178" ht="14.25" customHeight="1">
      <c r="A178" s="46" t="s">
        <v>8</v>
      </c>
      <c r="B178" s="47" t="str">
        <f>iferror(VLOOKUP($B$175,Staff[],C178, FALSE),"Not Found")</f>
        <v>Collen</v>
      </c>
      <c r="C178" s="48">
        <v>2.0</v>
      </c>
      <c r="D178" s="49" t="s">
        <v>609</v>
      </c>
      <c r="E178" s="50" t="s">
        <v>610</v>
      </c>
      <c r="F178" s="51"/>
      <c r="G178" s="51"/>
      <c r="H178" s="51"/>
      <c r="I178" s="51"/>
      <c r="J178" s="51"/>
      <c r="K178" s="51"/>
    </row>
    <row r="179" ht="14.25" customHeight="1">
      <c r="A179" s="46" t="s">
        <v>10</v>
      </c>
      <c r="B179" s="47" t="str">
        <f>iferror(VLOOKUP($B$175,Staff[],C179, FALSE),"Not Found")</f>
        <v>Dunbleton</v>
      </c>
      <c r="C179" s="48">
        <v>3.0</v>
      </c>
      <c r="D179" s="52" t="str">
        <f>IFERROR(__xludf.DUMMYFUNCTION("FILTER(Staff[Emp ID],Staff[Salary] = E177)"),"PR00147")</f>
        <v>PR00147</v>
      </c>
      <c r="E179" s="51" t="str">
        <f t="array" ref="E179:Q179">_xlfn.XLOOKUP(E177,Staff[Salary],Staff[],"Not Found")</f>
        <v>PR00147</v>
      </c>
      <c r="F179" s="51" t="s">
        <v>28</v>
      </c>
      <c r="G179" s="51" t="s">
        <v>29</v>
      </c>
      <c r="H179" s="51" t="s">
        <v>30</v>
      </c>
      <c r="I179" s="51" t="s">
        <v>31</v>
      </c>
      <c r="J179" s="51">
        <v>120000.0</v>
      </c>
      <c r="K179" s="51" t="s">
        <v>32</v>
      </c>
      <c r="L179" s="53">
        <v>43416.0</v>
      </c>
      <c r="M179" s="4">
        <v>1.0</v>
      </c>
      <c r="N179" s="4" t="s">
        <v>35</v>
      </c>
      <c r="O179" s="4" t="s">
        <v>36</v>
      </c>
      <c r="P179" s="4">
        <v>5.610958904109589</v>
      </c>
      <c r="Q179" s="4" t="s">
        <v>39</v>
      </c>
    </row>
    <row r="180" ht="14.25" customHeight="1">
      <c r="A180" s="46" t="s">
        <v>14</v>
      </c>
      <c r="B180" s="47" t="str">
        <f>iferror(VLOOKUP($B$175,Staff[],C180, FALSE),"Not Found")</f>
        <v>Engineering</v>
      </c>
      <c r="C180" s="48">
        <v>5.0</v>
      </c>
      <c r="D180" s="52" t="str">
        <f>IFERROR(__xludf.DUMMYFUNCTION("""COMPUTED_VALUE"""),"SQ04612")</f>
        <v>SQ04612</v>
      </c>
    </row>
    <row r="181" ht="14.25" customHeight="1">
      <c r="A181" s="46" t="s">
        <v>16</v>
      </c>
      <c r="B181" s="47">
        <f>iferror(VLOOKUP($B$175,Staff[],C181, FALSE),"Not Found")</f>
        <v>118976.16</v>
      </c>
      <c r="C181" s="48">
        <v>6.0</v>
      </c>
    </row>
    <row r="182" ht="14.25" customHeight="1">
      <c r="C182" s="54"/>
    </row>
    <row r="183" ht="14.25" customHeight="1">
      <c r="A183" s="41" t="s">
        <v>10</v>
      </c>
      <c r="B183" s="42" t="s">
        <v>56</v>
      </c>
      <c r="C183" s="54"/>
    </row>
    <row r="184" ht="14.25" customHeight="1">
      <c r="A184" s="55"/>
      <c r="B184" s="31"/>
    </row>
    <row r="185" ht="14.25" customHeight="1">
      <c r="A185" s="45" t="s">
        <v>623</v>
      </c>
      <c r="B185" s="31"/>
    </row>
    <row r="186" ht="14.25" customHeight="1">
      <c r="A186" s="46" t="s">
        <v>8</v>
      </c>
      <c r="B186" s="46" t="str">
        <f t="array" ref="B186">INDEX(Staff[First Name], MATCH(B183,Staff[Last Name],0))</f>
        <v>Mick</v>
      </c>
    </row>
    <row r="187" ht="14.25" customHeight="1">
      <c r="A187" s="46" t="s">
        <v>627</v>
      </c>
      <c r="B187" s="54" t="str">
        <f t="array" ref="B187">index(Staff[Emp ID], MATCH(B183, Staff[Last Name],0))</f>
        <v>SQ04612</v>
      </c>
    </row>
    <row r="188" ht="14.25" customHeight="1">
      <c r="A188" s="46" t="s">
        <v>14</v>
      </c>
      <c r="B188" s="47" t="str">
        <f t="array" ref="B188">index(Staff[Department], MATCH(B183, Staff[Last Name],0))</f>
        <v>Services</v>
      </c>
    </row>
    <row r="189" ht="14.25" customHeight="1">
      <c r="A189" s="46" t="s">
        <v>16</v>
      </c>
      <c r="B189" s="47">
        <f t="array" ref="B189">index(Staff[Salary], MATCH(B183, Staff[Last Name],0))</f>
        <v>120000</v>
      </c>
    </row>
    <row r="190" ht="14.25" customHeight="1"/>
    <row r="191" ht="14.25" customHeight="1">
      <c r="A191" s="45" t="s">
        <v>632</v>
      </c>
    </row>
    <row r="192" ht="14.25" customHeight="1"/>
    <row r="193" ht="14.25" customHeight="1">
      <c r="A193" s="46" t="s">
        <v>8</v>
      </c>
      <c r="B193" s="56" t="str">
        <f t="array" ref="B193">_xlfn.XLOOKUP(B183,Staff[Last Name],Staff[First Name],"Not Found")</f>
        <v>Mick</v>
      </c>
    </row>
    <row r="194" ht="14.25" customHeight="1">
      <c r="A194" s="46" t="s">
        <v>627</v>
      </c>
      <c r="B194" s="56" t="str">
        <f t="array" ref="B194">_xlfn.XLOOKUP(B183,Staff[Last Name],Staff[Emp ID],"Not Found")</f>
        <v>SQ04612</v>
      </c>
    </row>
    <row r="195" ht="14.25" customHeight="1">
      <c r="A195" s="46" t="s">
        <v>14</v>
      </c>
      <c r="B195" s="56" t="str">
        <f t="array" ref="B195">_xlfn.XLOOKUP(B183,Staff[Last Name],Staff[Department],"Not Found")</f>
        <v>Services</v>
      </c>
    </row>
    <row r="196" ht="14.25" customHeight="1">
      <c r="A196" s="46" t="s">
        <v>16</v>
      </c>
      <c r="B196" s="56">
        <f t="array" ref="B196">_xlfn.XLOOKUP(B183,Staff[Last Name],Staff[Salary],"Not Found")</f>
        <v>120000</v>
      </c>
    </row>
    <row r="197" ht="14.25" customHeight="1"/>
    <row r="198" ht="14.25" customHeight="1">
      <c r="A198" s="57" t="s">
        <v>640</v>
      </c>
    </row>
    <row r="199" ht="14.25" customHeight="1">
      <c r="A199" s="47" t="str">
        <f t="array" ref="A199:A211">Transpose(_xlfn.XLOOKUP(B183,Staff[Last Name],Staff[],"Not Found"))</f>
        <v>SQ04612</v>
      </c>
    </row>
    <row r="200" ht="14.25" customHeight="1">
      <c r="A200" s="47" t="s">
        <v>55</v>
      </c>
    </row>
    <row r="201" ht="14.25" customHeight="1">
      <c r="A201" s="47" t="s">
        <v>56</v>
      </c>
    </row>
    <row r="202" ht="14.25" customHeight="1">
      <c r="A202" s="47" t="s">
        <v>45</v>
      </c>
    </row>
    <row r="203" ht="14.25" customHeight="1">
      <c r="A203" s="47" t="s">
        <v>57</v>
      </c>
    </row>
    <row r="204" ht="14.25" customHeight="1">
      <c r="A204" s="47">
        <v>120000.0</v>
      </c>
    </row>
    <row r="205" ht="14.25" customHeight="1">
      <c r="A205" s="47" t="s">
        <v>32</v>
      </c>
    </row>
    <row r="206" ht="14.25" customHeight="1">
      <c r="A206" s="58">
        <v>43902.0</v>
      </c>
    </row>
    <row r="207" ht="14.25" customHeight="1">
      <c r="A207" s="47">
        <v>0.9</v>
      </c>
    </row>
    <row r="208" ht="14.25" customHeight="1">
      <c r="A208" s="47" t="s">
        <v>35</v>
      </c>
    </row>
    <row r="209" ht="14.25" customHeight="1">
      <c r="A209" s="47" t="s">
        <v>36</v>
      </c>
    </row>
    <row r="210" ht="14.25" customHeight="1">
      <c r="A210" s="47">
        <v>4.279452054794521</v>
      </c>
    </row>
    <row r="211" ht="14.25" customHeight="1">
      <c r="A211" s="47" t="s">
        <v>51</v>
      </c>
    </row>
    <row r="212" ht="14.25" customHeight="1"/>
    <row r="213" ht="14.25" customHeight="1">
      <c r="A213" s="14" t="s">
        <v>644</v>
      </c>
      <c r="B213" s="11"/>
      <c r="C213" s="11"/>
      <c r="D213" s="11"/>
      <c r="E213" s="11"/>
      <c r="F213" s="11"/>
    </row>
    <row r="214" ht="14.25" customHeight="1"/>
    <row r="215" ht="14.25" customHeight="1">
      <c r="A215" s="59" t="s">
        <v>648</v>
      </c>
      <c r="B215" s="60" t="str">
        <f t="array" ref="B215">_xlfn.XLOOKUP(MAX(Staff[Salary]), Staff[Salary], Staff[First Name], "Not Found") &amp; " " &amp; _xlfn.XLOOKUP(MAX(Staff[Salary]), Staff[Salary], Staff[Last Name], "")</f>
        <v>Minerva Ricardot</v>
      </c>
    </row>
    <row r="216" ht="14.25" customHeight="1"/>
    <row r="217" ht="14.25" customHeight="1">
      <c r="A217" s="59" t="s">
        <v>652</v>
      </c>
      <c r="B217" s="60" t="str">
        <f>IFERROR(__xludf.DUMMYFUNCTION("TEXTJOIN("", "",,filter(Staff[First Name]&amp;"" ""&amp;Staff[Last Name], Staff[Salary]=MAX(Staff[Salary])))"),"Minerva Ricardot, Mick Spraberry")</f>
        <v>Minerva Ricardot, Mick Spraberry</v>
      </c>
      <c r="C217" s="60"/>
    </row>
    <row r="218" ht="14.25" customHeight="1"/>
    <row r="219" ht="14.25" customHeight="1">
      <c r="A219" s="59" t="s">
        <v>656</v>
      </c>
      <c r="B219" s="47" t="str">
        <f>IFERROR(__xludf.DUMMYFUNCTION("FILTER(Staff[[Emp ID]:[Last Name]],Month(Staff[Start Date])=3)"),"SQ04612")</f>
        <v>SQ04612</v>
      </c>
      <c r="C219" s="47" t="str">
        <f>IFERROR(__xludf.DUMMYFUNCTION("""COMPUTED_VALUE"""),"Mick")</f>
        <v>Mick</v>
      </c>
      <c r="D219" s="47" t="str">
        <f>IFERROR(__xludf.DUMMYFUNCTION("""COMPUTED_VALUE"""),"Spraberry")</f>
        <v>Spraberry</v>
      </c>
    </row>
    <row r="220" ht="14.25" customHeight="1">
      <c r="B220" s="47" t="str">
        <f>IFERROR(__xludf.DUMMYFUNCTION("""COMPUTED_VALUE"""),"VT01803")</f>
        <v>VT01803</v>
      </c>
      <c r="C220" s="47" t="str">
        <f>IFERROR(__xludf.DUMMYFUNCTION("""COMPUTED_VALUE"""),"Freddy")</f>
        <v>Freddy</v>
      </c>
      <c r="D220" s="47" t="str">
        <f>IFERROR(__xludf.DUMMYFUNCTION("""COMPUTED_VALUE"""),"Linford")</f>
        <v>Linford</v>
      </c>
    </row>
    <row r="221" ht="14.25" customHeight="1">
      <c r="B221" s="47" t="str">
        <f>IFERROR(__xludf.DUMMYFUNCTION("""COMPUTED_VALUE"""),"VT02417")</f>
        <v>VT02417</v>
      </c>
      <c r="C221" s="47" t="str">
        <f>IFERROR(__xludf.DUMMYFUNCTION("""COMPUTED_VALUE"""),"Evangelina")</f>
        <v>Evangelina</v>
      </c>
      <c r="D221" s="47" t="str">
        <f>IFERROR(__xludf.DUMMYFUNCTION("""COMPUTED_VALUE"""),"Lergan")</f>
        <v>Lergan</v>
      </c>
    </row>
    <row r="222" ht="14.25" customHeight="1">
      <c r="B222" s="47" t="str">
        <f>IFERROR(__xludf.DUMMYFUNCTION("""COMPUTED_VALUE"""),"PR00893")</f>
        <v>PR00893</v>
      </c>
      <c r="C222" s="47" t="str">
        <f>IFERROR(__xludf.DUMMYFUNCTION("""COMPUTED_VALUE"""),"Vasavi")</f>
        <v>Vasavi</v>
      </c>
      <c r="D222" s="47" t="str">
        <f>IFERROR(__xludf.DUMMYFUNCTION("""COMPUTED_VALUE"""),"Veeravasarapu")</f>
        <v>Veeravasarapu</v>
      </c>
    </row>
    <row r="223" ht="14.25" customHeight="1">
      <c r="B223" s="47" t="str">
        <f>IFERROR(__xludf.DUMMYFUNCTION("""COMPUTED_VALUE"""),"VT03421")</f>
        <v>VT03421</v>
      </c>
      <c r="C223" s="47" t="str">
        <f>IFERROR(__xludf.DUMMYFUNCTION("""COMPUTED_VALUE"""),"Alic")</f>
        <v>Alic</v>
      </c>
      <c r="D223" s="47" t="str">
        <f>IFERROR(__xludf.DUMMYFUNCTION("""COMPUTED_VALUE"""),"Bagg")</f>
        <v>Bagg</v>
      </c>
    </row>
    <row r="224" ht="14.25" customHeight="1">
      <c r="B224" s="47" t="str">
        <f>IFERROR(__xludf.DUMMYFUNCTION("""COMPUTED_VALUE"""),"VT03993")</f>
        <v>VT03993</v>
      </c>
      <c r="C224" s="47" t="str">
        <f>IFERROR(__xludf.DUMMYFUNCTION("""COMPUTED_VALUE"""),"Dulce")</f>
        <v>Dulce</v>
      </c>
      <c r="D224" s="47" t="str">
        <f>IFERROR(__xludf.DUMMYFUNCTION("""COMPUTED_VALUE"""),"Colbeck")</f>
        <v>Colbeck</v>
      </c>
    </row>
    <row r="225" ht="14.25" customHeight="1">
      <c r="B225" s="47" t="str">
        <f>IFERROR(__xludf.DUMMYFUNCTION("""COMPUTED_VALUE"""),"SQ01519")</f>
        <v>SQ01519</v>
      </c>
      <c r="C225" s="47" t="str">
        <f>IFERROR(__xludf.DUMMYFUNCTION("""COMPUTED_VALUE"""),"Caron")</f>
        <v>Caron</v>
      </c>
      <c r="D225" s="47" t="str">
        <f>IFERROR(__xludf.DUMMYFUNCTION("""COMPUTED_VALUE"""),"Kolakovic")</f>
        <v>Kolakovic</v>
      </c>
    </row>
    <row r="226" ht="14.25" customHeight="1">
      <c r="B226" s="47" t="str">
        <f>IFERROR(__xludf.DUMMYFUNCTION("""COMPUTED_VALUE"""),"VT04028")</f>
        <v>VT04028</v>
      </c>
      <c r="C226" s="47" t="str">
        <f>IFERROR(__xludf.DUMMYFUNCTION("""COMPUTED_VALUE"""),"Michale")</f>
        <v>Michale</v>
      </c>
      <c r="D226" s="47" t="str">
        <f>IFERROR(__xludf.DUMMYFUNCTION("""COMPUTED_VALUE"""),"Rolf")</f>
        <v>Rolf</v>
      </c>
    </row>
    <row r="227" ht="14.25" customHeight="1">
      <c r="B227" s="47" t="str">
        <f>IFERROR(__xludf.DUMMYFUNCTION("""COMPUTED_VALUE"""),"VT04028")</f>
        <v>VT04028</v>
      </c>
      <c r="C227" s="47" t="str">
        <f>IFERROR(__xludf.DUMMYFUNCTION("""COMPUTED_VALUE"""),"Michale")</f>
        <v>Michale</v>
      </c>
      <c r="D227" s="47" t="str">
        <f>IFERROR(__xludf.DUMMYFUNCTION("""COMPUTED_VALUE"""),"Rolf")</f>
        <v>Rolf</v>
      </c>
    </row>
    <row r="228" ht="14.25" customHeight="1">
      <c r="B228" s="47" t="str">
        <f>IFERROR(__xludf.DUMMYFUNCTION("""COMPUTED_VALUE"""),"SQ00022")</f>
        <v>SQ00022</v>
      </c>
      <c r="C228" s="47" t="str">
        <f>IFERROR(__xludf.DUMMYFUNCTION("""COMPUTED_VALUE"""),"Carlin")</f>
        <v>Carlin</v>
      </c>
      <c r="D228" s="47" t="str">
        <f>IFERROR(__xludf.DUMMYFUNCTION("""COMPUTED_VALUE"""),"Demke")</f>
        <v>Demke</v>
      </c>
    </row>
    <row r="229" ht="14.25" customHeight="1">
      <c r="B229" s="47" t="str">
        <f>IFERROR(__xludf.DUMMYFUNCTION("""COMPUTED_VALUE"""),"TN01256")</f>
        <v>TN01256</v>
      </c>
      <c r="C229" s="47" t="str">
        <f>IFERROR(__xludf.DUMMYFUNCTION("""COMPUTED_VALUE"""),"Shattesh")</f>
        <v>Shattesh</v>
      </c>
      <c r="D229" s="47" t="str">
        <f>IFERROR(__xludf.DUMMYFUNCTION("""COMPUTED_VALUE"""),"Utpat")</f>
        <v>Utpat</v>
      </c>
    </row>
    <row r="230" ht="14.25" customHeight="1">
      <c r="B230" s="47" t="str">
        <f>IFERROR(__xludf.DUMMYFUNCTION("""COMPUTED_VALUE"""),"PR00746")</f>
        <v>PR00746</v>
      </c>
      <c r="C230" s="47" t="str">
        <f>IFERROR(__xludf.DUMMYFUNCTION("""COMPUTED_VALUE"""),"Hogan")</f>
        <v>Hogan</v>
      </c>
      <c r="D230" s="47" t="str">
        <f>IFERROR(__xludf.DUMMYFUNCTION("""COMPUTED_VALUE"""),"Iles")</f>
        <v>Iles</v>
      </c>
    </row>
    <row r="231" ht="14.25" customHeight="1">
      <c r="B231" s="47" t="str">
        <f>IFERROR(__xludf.DUMMYFUNCTION("""COMPUTED_VALUE"""),"SQ00105")</f>
        <v>SQ00105</v>
      </c>
      <c r="C231" s="47" t="str">
        <f>IFERROR(__xludf.DUMMYFUNCTION("""COMPUTED_VALUE"""),"Sarayu")</f>
        <v>Sarayu</v>
      </c>
      <c r="D231" s="47" t="str">
        <f>IFERROR(__xludf.DUMMYFUNCTION("""COMPUTED_VALUE"""),"Ragunathan")</f>
        <v>Ragunathan</v>
      </c>
    </row>
    <row r="232" ht="14.25" customHeight="1">
      <c r="B232" s="47" t="str">
        <f>IFERROR(__xludf.DUMMYFUNCTION("""COMPUTED_VALUE"""),"VT04415")</f>
        <v>VT04415</v>
      </c>
      <c r="C232" s="47" t="str">
        <f>IFERROR(__xludf.DUMMYFUNCTION("""COMPUTED_VALUE"""),"Malory")</f>
        <v>Malory</v>
      </c>
      <c r="D232" s="47" t="str">
        <f>IFERROR(__xludf.DUMMYFUNCTION("""COMPUTED_VALUE"""),"Biles")</f>
        <v>Biles</v>
      </c>
    </row>
    <row r="233" ht="14.25" customHeight="1">
      <c r="B233" s="47" t="str">
        <f>IFERROR(__xludf.DUMMYFUNCTION("""COMPUTED_VALUE"""),"TN01601")</f>
        <v>TN01601</v>
      </c>
      <c r="C233" s="47" t="str">
        <f>IFERROR(__xludf.DUMMYFUNCTION("""COMPUTED_VALUE"""),"Melva")</f>
        <v>Melva</v>
      </c>
      <c r="D233" s="47" t="str">
        <f>IFERROR(__xludf.DUMMYFUNCTION("""COMPUTED_VALUE"""),"Jickells")</f>
        <v>Jickells</v>
      </c>
    </row>
    <row r="234" ht="14.25" customHeight="1">
      <c r="B234" s="47" t="str">
        <f>IFERROR(__xludf.DUMMYFUNCTION("""COMPUTED_VALUE"""),"TN04892")</f>
        <v>TN04892</v>
      </c>
      <c r="C234" s="47" t="str">
        <f>IFERROR(__xludf.DUMMYFUNCTION("""COMPUTED_VALUE"""),"Luca")</f>
        <v>Luca</v>
      </c>
      <c r="D234" s="47" t="str">
        <f>IFERROR(__xludf.DUMMYFUNCTION("""COMPUTED_VALUE"""),"Wolstenholme")</f>
        <v>Wolstenholme</v>
      </c>
    </row>
    <row r="235" ht="14.25" customHeight="1">
      <c r="B235" s="47" t="str">
        <f>IFERROR(__xludf.DUMMYFUNCTION("""COMPUTED_VALUE"""),"VT01762")</f>
        <v>VT01762</v>
      </c>
      <c r="C235" s="47" t="str">
        <f>IFERROR(__xludf.DUMMYFUNCTION("""COMPUTED_VALUE"""),"Geena")</f>
        <v>Geena</v>
      </c>
      <c r="D235" s="47" t="str">
        <f>IFERROR(__xludf.DUMMYFUNCTION("""COMPUTED_VALUE"""),"Raghavanpillai")</f>
        <v>Raghavanpillai</v>
      </c>
    </row>
    <row r="236" ht="14.25" customHeight="1">
      <c r="B236" s="47" t="str">
        <f>IFERROR(__xludf.DUMMYFUNCTION("""COMPUTED_VALUE"""),"TN01601")</f>
        <v>TN01601</v>
      </c>
      <c r="C236" s="47" t="str">
        <f>IFERROR(__xludf.DUMMYFUNCTION("""COMPUTED_VALUE"""),"Melva")</f>
        <v>Melva</v>
      </c>
      <c r="D236" s="47" t="str">
        <f>IFERROR(__xludf.DUMMYFUNCTION("""COMPUTED_VALUE"""),"Jickells")</f>
        <v>Jickells</v>
      </c>
    </row>
    <row r="237" ht="14.25" customHeight="1">
      <c r="B237" s="47" t="str">
        <f>IFERROR(__xludf.DUMMYFUNCTION("""COMPUTED_VALUE"""),"TN01256")</f>
        <v>TN01256</v>
      </c>
      <c r="C237" s="47" t="str">
        <f>IFERROR(__xludf.DUMMYFUNCTION("""COMPUTED_VALUE"""),"Sawini")</f>
        <v>Sawini</v>
      </c>
      <c r="D237" s="47" t="str">
        <f>IFERROR(__xludf.DUMMYFUNCTION("""COMPUTED_VALUE"""),"Chandan")</f>
        <v>Chandan</v>
      </c>
    </row>
    <row r="238" ht="14.25" customHeight="1">
      <c r="B238" s="47" t="str">
        <f>IFERROR(__xludf.DUMMYFUNCTION("""COMPUTED_VALUE"""),"SQ03112")</f>
        <v>SQ03112</v>
      </c>
      <c r="C238" s="47" t="str">
        <f>IFERROR(__xludf.DUMMYFUNCTION("""COMPUTED_VALUE"""),"Kantimoy")</f>
        <v>Kantimoy</v>
      </c>
      <c r="D238" s="47" t="str">
        <f>IFERROR(__xludf.DUMMYFUNCTION("""COMPUTED_VALUE"""),"Pritish")</f>
        <v>Pritish</v>
      </c>
    </row>
    <row r="239" ht="14.25" customHeight="1">
      <c r="B239" s="47" t="str">
        <f>IFERROR(__xludf.DUMMYFUNCTION("""COMPUTED_VALUE"""),"VT03421")</f>
        <v>VT03421</v>
      </c>
      <c r="C239" s="47" t="str">
        <f>IFERROR(__xludf.DUMMYFUNCTION("""COMPUTED_VALUE"""),"Alic")</f>
        <v>Alic</v>
      </c>
      <c r="D239" s="47" t="str">
        <f>IFERROR(__xludf.DUMMYFUNCTION("""COMPUTED_VALUE"""),"Bagg")</f>
        <v>Bagg</v>
      </c>
    </row>
    <row r="240" ht="14.25" customHeight="1">
      <c r="B240" s="47" t="str">
        <f>IFERROR(__xludf.DUMMYFUNCTION("""COMPUTED_VALUE"""),"SQ03625")</f>
        <v>SQ03625</v>
      </c>
      <c r="C240" s="47" t="str">
        <f>IFERROR(__xludf.DUMMYFUNCTION("""COMPUTED_VALUE"""),"Fidela")</f>
        <v>Fidela</v>
      </c>
      <c r="D240" s="47" t="str">
        <f>IFERROR(__xludf.DUMMYFUNCTION("""COMPUTED_VALUE"""),"Artis")</f>
        <v>Artis</v>
      </c>
    </row>
    <row r="241" ht="14.25" customHeight="1"/>
    <row r="242" ht="14.25" customHeight="1">
      <c r="A242" s="59" t="s">
        <v>668</v>
      </c>
      <c r="B242" s="47" t="str">
        <f>IFERROR(__xludf.DUMMYFUNCTION("FILTER(Staff[[Emp ID]:[Last Name]],WEEKDAY(Staff[Start Date])=2)"),"PR00147")</f>
        <v>PR00147</v>
      </c>
      <c r="C242" s="47" t="str">
        <f>IFERROR(__xludf.DUMMYFUNCTION("""COMPUTED_VALUE"""),"Minerva")</f>
        <v>Minerva</v>
      </c>
      <c r="D242" s="47" t="str">
        <f>IFERROR(__xludf.DUMMYFUNCTION("""COMPUTED_VALUE"""),"Ricardot")</f>
        <v>Ricardot</v>
      </c>
      <c r="F242" s="31"/>
    </row>
    <row r="243" ht="14.25" customHeight="1">
      <c r="B243" s="47" t="str">
        <f>IFERROR(__xludf.DUMMYFUNCTION("""COMPUTED_VALUE"""),"PR04686")</f>
        <v>PR04686</v>
      </c>
      <c r="C243" s="47" t="str">
        <f>IFERROR(__xludf.DUMMYFUNCTION("""COMPUTED_VALUE"""),"Oona")</f>
        <v>Oona</v>
      </c>
      <c r="D243" s="47" t="str">
        <f>IFERROR(__xludf.DUMMYFUNCTION("""COMPUTED_VALUE"""),"Donan")</f>
        <v>Donan</v>
      </c>
    </row>
    <row r="244" ht="14.25" customHeight="1">
      <c r="B244" s="47" t="str">
        <f>IFERROR(__xludf.DUMMYFUNCTION("""COMPUTED_VALUE"""),"VT01803")</f>
        <v>VT01803</v>
      </c>
      <c r="C244" s="47" t="str">
        <f>IFERROR(__xludf.DUMMYFUNCTION("""COMPUTED_VALUE"""),"Freddy")</f>
        <v>Freddy</v>
      </c>
      <c r="D244" s="47" t="str">
        <f>IFERROR(__xludf.DUMMYFUNCTION("""COMPUTED_VALUE"""),"Linford")</f>
        <v>Linford</v>
      </c>
    </row>
    <row r="245" ht="14.25" customHeight="1">
      <c r="B245" s="47" t="str">
        <f>IFERROR(__xludf.DUMMYFUNCTION("""COMPUTED_VALUE"""),"TN02749")</f>
        <v>TN02749</v>
      </c>
      <c r="C245" s="47" t="str">
        <f>IFERROR(__xludf.DUMMYFUNCTION("""COMPUTED_VALUE"""),"Parasuramudu")</f>
        <v>Parasuramudu</v>
      </c>
      <c r="D245" s="47" t="str">
        <f>IFERROR(__xludf.DUMMYFUNCTION("""COMPUTED_VALUE"""),"Jamakayala")</f>
        <v>Jamakayala</v>
      </c>
    </row>
    <row r="246" ht="14.25" customHeight="1">
      <c r="B246" s="47" t="str">
        <f>IFERROR(__xludf.DUMMYFUNCTION("""COMPUTED_VALUE"""),"VT00578")</f>
        <v>VT00578</v>
      </c>
      <c r="C246" s="47" t="str">
        <f>IFERROR(__xludf.DUMMYFUNCTION("""COMPUTED_VALUE"""),"Magnum")</f>
        <v>Magnum</v>
      </c>
      <c r="D246" s="47" t="str">
        <f>IFERROR(__xludf.DUMMYFUNCTION("""COMPUTED_VALUE"""),"Locksley")</f>
        <v>Locksley</v>
      </c>
    </row>
    <row r="247" ht="14.25" customHeight="1">
      <c r="B247" s="47" t="str">
        <f>IFERROR(__xludf.DUMMYFUNCTION("""COMPUTED_VALUE"""),"TN01281")</f>
        <v>TN01281</v>
      </c>
      <c r="C247" s="47" t="str">
        <f>IFERROR(__xludf.DUMMYFUNCTION("""COMPUTED_VALUE"""),"Cletus")</f>
        <v>Cletus</v>
      </c>
      <c r="D247" s="47" t="str">
        <f>IFERROR(__xludf.DUMMYFUNCTION("""COMPUTED_VALUE"""),"McGarahan")</f>
        <v>McGarahan</v>
      </c>
    </row>
    <row r="248" ht="14.25" customHeight="1">
      <c r="B248" s="47" t="str">
        <f>IFERROR(__xludf.DUMMYFUNCTION("""COMPUTED_VALUE"""),"PR04473")</f>
        <v>PR04473</v>
      </c>
      <c r="C248" s="47" t="str">
        <f>IFERROR(__xludf.DUMMYFUNCTION("""COMPUTED_VALUE"""),"Wyn")</f>
        <v>Wyn</v>
      </c>
      <c r="D248" s="47" t="str">
        <f>IFERROR(__xludf.DUMMYFUNCTION("""COMPUTED_VALUE"""),"Treadger")</f>
        <v>Treadger</v>
      </c>
    </row>
    <row r="249" ht="14.25" customHeight="1">
      <c r="B249" s="47" t="str">
        <f>IFERROR(__xludf.DUMMYFUNCTION("""COMPUTED_VALUE"""),"VT02417")</f>
        <v>VT02417</v>
      </c>
      <c r="C249" s="47" t="str">
        <f>IFERROR(__xludf.DUMMYFUNCTION("""COMPUTED_VALUE"""),"Evangelina")</f>
        <v>Evangelina</v>
      </c>
      <c r="D249" s="47" t="str">
        <f>IFERROR(__xludf.DUMMYFUNCTION("""COMPUTED_VALUE"""),"Lergan")</f>
        <v>Lergan</v>
      </c>
    </row>
    <row r="250" ht="14.25" customHeight="1">
      <c r="B250" s="47" t="str">
        <f>IFERROR(__xludf.DUMMYFUNCTION("""COMPUTED_VALUE"""),"VT02539")</f>
        <v>VT02539</v>
      </c>
      <c r="C250" s="47" t="str">
        <f>IFERROR(__xludf.DUMMYFUNCTION("""COMPUTED_VALUE"""),"Devinne")</f>
        <v>Devinne</v>
      </c>
      <c r="D250" s="47" t="str">
        <f>IFERROR(__xludf.DUMMYFUNCTION("""COMPUTED_VALUE"""),"Tuny")</f>
        <v>Tuny</v>
      </c>
    </row>
    <row r="251" ht="14.25" customHeight="1">
      <c r="B251" s="47" t="str">
        <f>IFERROR(__xludf.DUMMYFUNCTION("""COMPUTED_VALUE"""),"SQ04598")</f>
        <v>SQ04598</v>
      </c>
      <c r="C251" s="47" t="str">
        <f>IFERROR(__xludf.DUMMYFUNCTION("""COMPUTED_VALUE"""),"Pearla")</f>
        <v>Pearla</v>
      </c>
      <c r="D251" s="47" t="str">
        <f>IFERROR(__xludf.DUMMYFUNCTION("""COMPUTED_VALUE"""),"Beteriss")</f>
        <v>Beteriss</v>
      </c>
    </row>
    <row r="252" ht="14.25" customHeight="1">
      <c r="B252" s="47" t="str">
        <f>IFERROR(__xludf.DUMMYFUNCTION("""COMPUTED_VALUE"""),"TN00464")</f>
        <v>TN00464</v>
      </c>
      <c r="C252" s="47" t="str">
        <f>IFERROR(__xludf.DUMMYFUNCTION("""COMPUTED_VALUE"""),"Gopal")</f>
        <v>Gopal</v>
      </c>
      <c r="D252" s="47" t="str">
        <f>IFERROR(__xludf.DUMMYFUNCTION("""COMPUTED_VALUE"""),"Venkata")</f>
        <v>Venkata</v>
      </c>
    </row>
    <row r="253" ht="14.25" customHeight="1">
      <c r="B253" s="47" t="str">
        <f>IFERROR(__xludf.DUMMYFUNCTION("""COMPUTED_VALUE"""),"TN00890")</f>
        <v>TN00890</v>
      </c>
      <c r="C253" s="47" t="str">
        <f>IFERROR(__xludf.DUMMYFUNCTION("""COMPUTED_VALUE"""),"Mayur")</f>
        <v>Mayur</v>
      </c>
      <c r="D253" s="47" t="str">
        <f>IFERROR(__xludf.DUMMYFUNCTION("""COMPUTED_VALUE"""),"Kousika")</f>
        <v>Kousika</v>
      </c>
    </row>
    <row r="254" ht="14.25" customHeight="1">
      <c r="B254" s="47" t="str">
        <f>IFERROR(__xludf.DUMMYFUNCTION("""COMPUTED_VALUE"""),"VT04137")</f>
        <v>VT04137</v>
      </c>
      <c r="C254" s="47" t="str">
        <f>IFERROR(__xludf.DUMMYFUNCTION("""COMPUTED_VALUE"""),"Marissa")</f>
        <v>Marissa</v>
      </c>
      <c r="D254" s="47" t="str">
        <f>IFERROR(__xludf.DUMMYFUNCTION("""COMPUTED_VALUE"""),"Infante")</f>
        <v>Infante</v>
      </c>
    </row>
    <row r="255" ht="14.25" customHeight="1">
      <c r="B255" s="47" t="str">
        <f>IFERROR(__xludf.DUMMYFUNCTION("""COMPUTED_VALUE"""),"PR02603")</f>
        <v>PR02603</v>
      </c>
      <c r="C255" s="47" t="str">
        <f>IFERROR(__xludf.DUMMYFUNCTION("""COMPUTED_VALUE"""),"Dinanath")</f>
        <v>Dinanath</v>
      </c>
      <c r="D255" s="47" t="str">
        <f>IFERROR(__xludf.DUMMYFUNCTION("""COMPUTED_VALUE"""),"Simhambhatla")</f>
        <v>Simhambhatla</v>
      </c>
    </row>
    <row r="256" ht="14.25" customHeight="1">
      <c r="B256" s="47" t="str">
        <f>IFERROR(__xludf.DUMMYFUNCTION("""COMPUTED_VALUE"""),"PR03158")</f>
        <v>PR03158</v>
      </c>
      <c r="C256" s="47" t="str">
        <f>IFERROR(__xludf.DUMMYFUNCTION("""COMPUTED_VALUE"""),"Danica")</f>
        <v>Danica</v>
      </c>
      <c r="D256" s="47" t="str">
        <f>IFERROR(__xludf.DUMMYFUNCTION("""COMPUTED_VALUE"""),"Nayshe")</f>
        <v>Nayshe</v>
      </c>
    </row>
    <row r="257" ht="14.25" customHeight="1">
      <c r="B257" s="47" t="str">
        <f>IFERROR(__xludf.DUMMYFUNCTION("""COMPUTED_VALUE"""),"SQ01395")</f>
        <v>SQ01395</v>
      </c>
      <c r="C257" s="47" t="str">
        <f>IFERROR(__xludf.DUMMYFUNCTION("""COMPUTED_VALUE"""),"Dennison")</f>
        <v>Dennison</v>
      </c>
      <c r="D257" s="47" t="str">
        <f>IFERROR(__xludf.DUMMYFUNCTION("""COMPUTED_VALUE"""),"Crosswaite")</f>
        <v>Crosswaite</v>
      </c>
    </row>
    <row r="258" ht="14.25" customHeight="1">
      <c r="B258" s="47" t="str">
        <f>IFERROR(__xludf.DUMMYFUNCTION("""COMPUTED_VALUE"""),"VT02313")</f>
        <v>VT02313</v>
      </c>
      <c r="C258" s="47" t="str">
        <f>IFERROR(__xludf.DUMMYFUNCTION("""COMPUTED_VALUE"""),"Thekla")</f>
        <v>Thekla</v>
      </c>
      <c r="D258" s="47" t="str">
        <f>IFERROR(__xludf.DUMMYFUNCTION("""COMPUTED_VALUE"""),"Lynnett")</f>
        <v>Lynnett</v>
      </c>
    </row>
    <row r="259" ht="14.25" customHeight="1">
      <c r="B259" s="47" t="str">
        <f>IFERROR(__xludf.DUMMYFUNCTION("""COMPUTED_VALUE"""),"SQ01620")</f>
        <v>SQ01620</v>
      </c>
      <c r="C259" s="47" t="str">
        <f>IFERROR(__xludf.DUMMYFUNCTION("""COMPUTED_VALUE"""),"Westbrook")</f>
        <v>Westbrook</v>
      </c>
      <c r="D259" s="47" t="str">
        <f>IFERROR(__xludf.DUMMYFUNCTION("""COMPUTED_VALUE"""),"Brandino")</f>
        <v>Brandino</v>
      </c>
    </row>
    <row r="260" ht="14.25" customHeight="1">
      <c r="B260" s="47" t="str">
        <f>IFERROR(__xludf.DUMMYFUNCTION("""COMPUTED_VALUE"""),"TN04246")</f>
        <v>TN04246</v>
      </c>
      <c r="C260" s="47" t="str">
        <f>IFERROR(__xludf.DUMMYFUNCTION("""COMPUTED_VALUE"""),"Shaylyn")</f>
        <v>Shaylyn</v>
      </c>
      <c r="D260" s="47" t="str">
        <f>IFERROR(__xludf.DUMMYFUNCTION("""COMPUTED_VALUE"""),"Ransbury")</f>
        <v>Ransbury</v>
      </c>
    </row>
    <row r="261" ht="14.25" customHeight="1">
      <c r="B261" s="47" t="str">
        <f>IFERROR(__xludf.DUMMYFUNCTION("""COMPUTED_VALUE"""),"VT02801")</f>
        <v>VT02801</v>
      </c>
      <c r="C261" s="47" t="str">
        <f>IFERROR(__xludf.DUMMYFUNCTION("""COMPUTED_VALUE"""),"Shellysheldon")</f>
        <v>Shellysheldon</v>
      </c>
      <c r="D261" s="47" t="str">
        <f>IFERROR(__xludf.DUMMYFUNCTION("""COMPUTED_VALUE"""),"Mahady")</f>
        <v>Mahady</v>
      </c>
    </row>
    <row r="262" ht="14.25" customHeight="1">
      <c r="B262" s="47" t="str">
        <f>IFERROR(__xludf.DUMMYFUNCTION("""COMPUTED_VALUE"""),"TN01876")</f>
        <v>TN01876</v>
      </c>
      <c r="C262" s="47" t="str">
        <f>IFERROR(__xludf.DUMMYFUNCTION("""COMPUTED_VALUE"""),"Aileen")</f>
        <v>Aileen</v>
      </c>
      <c r="D262" s="47" t="str">
        <f>IFERROR(__xludf.DUMMYFUNCTION("""COMPUTED_VALUE"""),"McCritchie")</f>
        <v>McCritchie</v>
      </c>
    </row>
    <row r="263" ht="14.25" customHeight="1">
      <c r="B263" s="47" t="str">
        <f>IFERROR(__xludf.DUMMYFUNCTION("""COMPUTED_VALUE"""),"VT02313")</f>
        <v>VT02313</v>
      </c>
      <c r="C263" s="47" t="str">
        <f>IFERROR(__xludf.DUMMYFUNCTION("""COMPUTED_VALUE"""),"Thekla")</f>
        <v>Thekla</v>
      </c>
      <c r="D263" s="47" t="str">
        <f>IFERROR(__xludf.DUMMYFUNCTION("""COMPUTED_VALUE"""),"Lynnett")</f>
        <v>Lynnett</v>
      </c>
    </row>
    <row r="264" ht="14.25" customHeight="1">
      <c r="B264" s="47" t="str">
        <f>IFERROR(__xludf.DUMMYFUNCTION("""COMPUTED_VALUE"""),"VT03988")</f>
        <v>VT03988</v>
      </c>
      <c r="C264" s="47" t="str">
        <f>IFERROR(__xludf.DUMMYFUNCTION("""COMPUTED_VALUE"""),"Venkat")</f>
        <v>Venkat</v>
      </c>
      <c r="D264" s="47" t="str">
        <f>IFERROR(__xludf.DUMMYFUNCTION("""COMPUTED_VALUE"""),"Kodi")</f>
        <v>Kodi</v>
      </c>
    </row>
    <row r="265" ht="14.25" customHeight="1">
      <c r="B265" s="47" t="str">
        <f>IFERROR(__xludf.DUMMYFUNCTION("""COMPUTED_VALUE"""),"SQ01402")</f>
        <v>SQ01402</v>
      </c>
      <c r="C265" s="47" t="str">
        <f>IFERROR(__xludf.DUMMYFUNCTION("""COMPUTED_VALUE"""),"Sahaj")</f>
        <v>Sahaj</v>
      </c>
      <c r="D265" s="47" t="str">
        <f>IFERROR(__xludf.DUMMYFUNCTION("""COMPUTED_VALUE"""),"Jonnalagadda")</f>
        <v>Jonnalagadda</v>
      </c>
    </row>
    <row r="266" ht="14.25" customHeight="1">
      <c r="B266" s="47" t="str">
        <f>IFERROR(__xludf.DUMMYFUNCTION("""COMPUTED_VALUE"""),"SQ00914")</f>
        <v>SQ00914</v>
      </c>
      <c r="C266" s="47" t="str">
        <f>IFERROR(__xludf.DUMMYFUNCTION("""COMPUTED_VALUE"""),"Duran")</f>
        <v>Duran</v>
      </c>
      <c r="D266" s="47" t="str">
        <f>IFERROR(__xludf.DUMMYFUNCTION("""COMPUTED_VALUE"""),"Appala")</f>
        <v>Appala</v>
      </c>
    </row>
    <row r="267" ht="14.25" customHeight="1">
      <c r="B267" s="47" t="str">
        <f>IFERROR(__xludf.DUMMYFUNCTION("""COMPUTED_VALUE"""),"SQ02525")</f>
        <v>SQ02525</v>
      </c>
      <c r="C267" s="47" t="str">
        <f>IFERROR(__xludf.DUMMYFUNCTION("""COMPUTED_VALUE"""),"Mickie")</f>
        <v>Mickie</v>
      </c>
      <c r="D267" s="47" t="str">
        <f>IFERROR(__xludf.DUMMYFUNCTION("""COMPUTED_VALUE"""),"Dagwell")</f>
        <v>Dagwell</v>
      </c>
    </row>
    <row r="268" ht="14.25" customHeight="1">
      <c r="B268" s="47" t="str">
        <f>IFERROR(__xludf.DUMMYFUNCTION("""COMPUTED_VALUE"""),"TN03331")</f>
        <v>TN03331</v>
      </c>
      <c r="C268" s="47" t="str">
        <f>IFERROR(__xludf.DUMMYFUNCTION("""COMPUTED_VALUE"""),"Crawford")</f>
        <v>Crawford</v>
      </c>
      <c r="D268" s="47" t="str">
        <f>IFERROR(__xludf.DUMMYFUNCTION("""COMPUTED_VALUE"""),"Scad")</f>
        <v>Scad</v>
      </c>
    </row>
    <row r="269" ht="14.25" customHeight="1">
      <c r="B269" s="47" t="str">
        <f>IFERROR(__xludf.DUMMYFUNCTION("""COMPUTED_VALUE"""),"VT01249")</f>
        <v>VT01249</v>
      </c>
      <c r="C269" s="47" t="str">
        <f>IFERROR(__xludf.DUMMYFUNCTION("""COMPUTED_VALUE"""),"Brendan")</f>
        <v>Brendan</v>
      </c>
      <c r="D269" s="47" t="str">
        <f>IFERROR(__xludf.DUMMYFUNCTION("""COMPUTED_VALUE"""),"Edgeller")</f>
        <v>Edgeller</v>
      </c>
    </row>
    <row r="270" ht="14.25" customHeight="1">
      <c r="B270" s="47" t="str">
        <f>IFERROR(__xludf.DUMMYFUNCTION("""COMPUTED_VALUE"""),"PR00576")</f>
        <v>PR00576</v>
      </c>
      <c r="C270" s="47" t="str">
        <f>IFERROR(__xludf.DUMMYFUNCTION("""COMPUTED_VALUE"""),"Lalitchandra")</f>
        <v>Lalitchandra</v>
      </c>
      <c r="D270" s="47" t="str">
        <f>IFERROR(__xludf.DUMMYFUNCTION("""COMPUTED_VALUE"""),"Vadali")</f>
        <v>Vadali</v>
      </c>
    </row>
    <row r="271" ht="14.25" customHeight="1">
      <c r="B271" s="47" t="str">
        <f>IFERROR(__xludf.DUMMYFUNCTION("""COMPUTED_VALUE"""),"TN02883")</f>
        <v>TN02883</v>
      </c>
      <c r="C271" s="47" t="str">
        <f>IFERROR(__xludf.DUMMYFUNCTION("""COMPUTED_VALUE"""),"John")</f>
        <v>John</v>
      </c>
      <c r="D271" s="47" t="str">
        <f>IFERROR(__xludf.DUMMYFUNCTION("""COMPUTED_VALUE"""),"Joseph")</f>
        <v>Joseph</v>
      </c>
    </row>
    <row r="272" ht="14.25" customHeight="1">
      <c r="B272" s="47" t="str">
        <f>IFERROR(__xludf.DUMMYFUNCTION("""COMPUTED_VALUE"""),"SQ03350")</f>
        <v>SQ03350</v>
      </c>
      <c r="C272" s="47" t="str">
        <f>IFERROR(__xludf.DUMMYFUNCTION("""COMPUTED_VALUE"""),"Felice")</f>
        <v>Felice</v>
      </c>
      <c r="D272" s="47" t="str">
        <f>IFERROR(__xludf.DUMMYFUNCTION("""COMPUTED_VALUE"""),"McMurty")</f>
        <v>McMurty</v>
      </c>
    </row>
    <row r="273" ht="14.25" customHeight="1">
      <c r="B273" s="47" t="str">
        <f>IFERROR(__xludf.DUMMYFUNCTION("""COMPUTED_VALUE"""),"VT03421")</f>
        <v>VT03421</v>
      </c>
      <c r="C273" s="47" t="str">
        <f>IFERROR(__xludf.DUMMYFUNCTION("""COMPUTED_VALUE"""),"Alic")</f>
        <v>Alic</v>
      </c>
      <c r="D273" s="47" t="str">
        <f>IFERROR(__xludf.DUMMYFUNCTION("""COMPUTED_VALUE"""),"Bagg")</f>
        <v>Bagg</v>
      </c>
    </row>
    <row r="274" ht="14.25" customHeight="1">
      <c r="B274" s="47" t="str">
        <f>IFERROR(__xludf.DUMMYFUNCTION("""COMPUTED_VALUE"""),"PR01346")</f>
        <v>PR01346</v>
      </c>
      <c r="C274" s="47" t="str">
        <f>IFERROR(__xludf.DUMMYFUNCTION("""COMPUTED_VALUE"""),"Adolph")</f>
        <v>Adolph</v>
      </c>
      <c r="D274" s="47" t="str">
        <f>IFERROR(__xludf.DUMMYFUNCTION("""COMPUTED_VALUE"""),"McNalley")</f>
        <v>McNalley</v>
      </c>
    </row>
    <row r="275" ht="14.25" customHeight="1">
      <c r="B275" s="47" t="str">
        <f>IFERROR(__xludf.DUMMYFUNCTION("""COMPUTED_VALUE"""),"TN02496")</f>
        <v>TN02496</v>
      </c>
      <c r="C275" s="47" t="str">
        <f>IFERROR(__xludf.DUMMYFUNCTION("""COMPUTED_VALUE"""),"Ponnan")</f>
        <v>Ponnan</v>
      </c>
      <c r="D275" s="47" t="str">
        <f>IFERROR(__xludf.DUMMYFUNCTION("""COMPUTED_VALUE"""),"Delhi")</f>
        <v>Delhi</v>
      </c>
    </row>
    <row r="276" ht="14.25" customHeight="1">
      <c r="B276" s="47" t="str">
        <f>IFERROR(__xludf.DUMMYFUNCTION("""COMPUTED_VALUE"""),"TN04058")</f>
        <v>TN04058</v>
      </c>
      <c r="C276" s="47" t="str">
        <f>IFERROR(__xludf.DUMMYFUNCTION("""COMPUTED_VALUE"""),"Subbarao")</f>
        <v>Subbarao</v>
      </c>
      <c r="D276" s="47" t="str">
        <f>IFERROR(__xludf.DUMMYFUNCTION("""COMPUTED_VALUE"""),"Malladi")</f>
        <v>Malladi</v>
      </c>
    </row>
    <row r="277" ht="14.25" customHeight="1">
      <c r="B277" s="47" t="str">
        <f>IFERROR(__xludf.DUMMYFUNCTION("""COMPUTED_VALUE"""),"VT02663")</f>
        <v>VT02663</v>
      </c>
      <c r="C277" s="47" t="str">
        <f>IFERROR(__xludf.DUMMYFUNCTION("""COMPUTED_VALUE"""),"Sravanthi")</f>
        <v>Sravanthi</v>
      </c>
      <c r="D277" s="47" t="str">
        <f>IFERROR(__xludf.DUMMYFUNCTION("""COMPUTED_VALUE"""),"Chalaki")</f>
        <v>Chalaki</v>
      </c>
    </row>
    <row r="278" ht="14.25" customHeight="1">
      <c r="B278" s="47" t="str">
        <f>IFERROR(__xludf.DUMMYFUNCTION("""COMPUTED_VALUE"""),"PR03034")</f>
        <v>PR03034</v>
      </c>
      <c r="C278" s="47" t="str">
        <f>IFERROR(__xludf.DUMMYFUNCTION("""COMPUTED_VALUE"""),"Sreenivasa")</f>
        <v>Sreenivasa</v>
      </c>
      <c r="D278" s="47" t="str">
        <f>IFERROR(__xludf.DUMMYFUNCTION("""COMPUTED_VALUE"""),"Naik")</f>
        <v>Naik</v>
      </c>
    </row>
    <row r="279" ht="14.25" customHeight="1">
      <c r="B279" s="47" t="str">
        <f>IFERROR(__xludf.DUMMYFUNCTION("""COMPUTED_VALUE"""),"PR01159")</f>
        <v>PR01159</v>
      </c>
      <c r="C279" s="47" t="str">
        <f>IFERROR(__xludf.DUMMYFUNCTION("""COMPUTED_VALUE"""),"Mollie")</f>
        <v>Mollie</v>
      </c>
      <c r="D279" s="47" t="str">
        <f>IFERROR(__xludf.DUMMYFUNCTION("""COMPUTED_VALUE"""),"Hanway")</f>
        <v>Hanway</v>
      </c>
    </row>
    <row r="280" ht="14.25" customHeight="1">
      <c r="B280" s="47" t="str">
        <f>IFERROR(__xludf.DUMMYFUNCTION("""COMPUTED_VALUE"""),"SQ03476")</f>
        <v>SQ03476</v>
      </c>
      <c r="C280" s="47" t="str">
        <f>IFERROR(__xludf.DUMMYFUNCTION("""COMPUTED_VALUE"""),"Ramalingam")</f>
        <v>Ramalingam</v>
      </c>
      <c r="D280" s="47" t="str">
        <f>IFERROR(__xludf.DUMMYFUNCTION("""COMPUTED_VALUE"""),"Kothapeta")</f>
        <v>Kothapeta</v>
      </c>
    </row>
    <row r="281" ht="14.25" customHeight="1">
      <c r="B281" s="47" t="str">
        <f>IFERROR(__xludf.DUMMYFUNCTION("""COMPUTED_VALUE"""),"PR04380")</f>
        <v>PR04380</v>
      </c>
      <c r="C281" s="47" t="str">
        <f>IFERROR(__xludf.DUMMYFUNCTION("""COMPUTED_VALUE"""),"Van")</f>
        <v>Van</v>
      </c>
      <c r="D281" s="47" t="str">
        <f>IFERROR(__xludf.DUMMYFUNCTION("""COMPUTED_VALUE"""),"Tuxwell")</f>
        <v>Tuxwell</v>
      </c>
    </row>
    <row r="282" ht="14.25" customHeight="1">
      <c r="B282" s="47" t="str">
        <f>IFERROR(__xludf.DUMMYFUNCTION("""COMPUTED_VALUE"""),"TN00182")</f>
        <v>TN00182</v>
      </c>
      <c r="C282" s="47" t="str">
        <f>IFERROR(__xludf.DUMMYFUNCTION("""COMPUTED_VALUE"""),"Camilla")</f>
        <v>Camilla</v>
      </c>
      <c r="D282" s="47" t="str">
        <f>IFERROR(__xludf.DUMMYFUNCTION("""COMPUTED_VALUE"""),"Castle")</f>
        <v>Castle</v>
      </c>
    </row>
    <row r="283" ht="14.25" customHeight="1">
      <c r="B283" s="47" t="str">
        <f>IFERROR(__xludf.DUMMYFUNCTION("""COMPUTED_VALUE"""),"PR00916")</f>
        <v>PR00916</v>
      </c>
      <c r="C283" s="47" t="str">
        <f>IFERROR(__xludf.DUMMYFUNCTION("""COMPUTED_VALUE"""),"Inger")</f>
        <v>Inger</v>
      </c>
      <c r="D283" s="47" t="str">
        <f>IFERROR(__xludf.DUMMYFUNCTION("""COMPUTED_VALUE"""),"Chapelhow")</f>
        <v>Chapelhow</v>
      </c>
    </row>
    <row r="284" ht="14.25" customHeight="1">
      <c r="B284" s="47" t="str">
        <f>IFERROR(__xludf.DUMMYFUNCTION("""COMPUTED_VALUE"""),"TN01876")</f>
        <v>TN01876</v>
      </c>
      <c r="C284" s="47" t="str">
        <f>IFERROR(__xludf.DUMMYFUNCTION("""COMPUTED_VALUE"""),"Aileen")</f>
        <v>Aileen</v>
      </c>
      <c r="D284" s="47" t="str">
        <f>IFERROR(__xludf.DUMMYFUNCTION("""COMPUTED_VALUE"""),"McCritchie")</f>
        <v>McCritchie</v>
      </c>
    </row>
    <row r="285" ht="14.25" customHeight="1">
      <c r="B285" s="47" t="str">
        <f>IFERROR(__xludf.DUMMYFUNCTION("""COMPUTED_VALUE"""),"TN04740")</f>
        <v>TN04740</v>
      </c>
      <c r="C285" s="47" t="str">
        <f>IFERROR(__xludf.DUMMYFUNCTION("""COMPUTED_VALUE"""),"Tristam")</f>
        <v>Tristam</v>
      </c>
      <c r="D285" s="47" t="str">
        <f>IFERROR(__xludf.DUMMYFUNCTION("""COMPUTED_VALUE"""),"Cuming")</f>
        <v>Cuming</v>
      </c>
    </row>
    <row r="286" ht="14.25" customHeight="1">
      <c r="B286" s="47" t="str">
        <f>IFERROR(__xludf.DUMMYFUNCTION("""COMPUTED_VALUE"""),"TN03575")</f>
        <v>TN03575</v>
      </c>
      <c r="C286" s="47" t="str">
        <f>IFERROR(__xludf.DUMMYFUNCTION("""COMPUTED_VALUE"""),"Janina")</f>
        <v>Janina</v>
      </c>
      <c r="D286" s="47" t="str">
        <f>IFERROR(__xludf.DUMMYFUNCTION("""COMPUTED_VALUE"""),"Wolverson")</f>
        <v>Wolverson</v>
      </c>
    </row>
    <row r="287" ht="14.25" customHeight="1">
      <c r="B287" s="47" t="str">
        <f>IFERROR(__xludf.DUMMYFUNCTION("""COMPUTED_VALUE"""),"PR00095")</f>
        <v>PR00095</v>
      </c>
      <c r="C287" s="47" t="str">
        <f>IFERROR(__xludf.DUMMYFUNCTION("""COMPUTED_VALUE"""),"Devrat")</f>
        <v>Devrat</v>
      </c>
      <c r="D287" s="47" t="str">
        <f>IFERROR(__xludf.DUMMYFUNCTION("""COMPUTED_VALUE"""),"Damarsingh")</f>
        <v>Damarsingh</v>
      </c>
    </row>
    <row r="288" ht="14.25" customHeight="1">
      <c r="B288" s="47" t="str">
        <f>IFERROR(__xludf.DUMMYFUNCTION("""COMPUTED_VALUE"""),"SQ03546")</f>
        <v>SQ03546</v>
      </c>
      <c r="C288" s="47" t="str">
        <f>IFERROR(__xludf.DUMMYFUNCTION("""COMPUTED_VALUE"""),"Amlankusum")</f>
        <v>Amlankusum</v>
      </c>
      <c r="D288" s="47" t="str">
        <f>IFERROR(__xludf.DUMMYFUNCTION("""COMPUTED_VALUE"""),"Rajabhushan")</f>
        <v>Rajabhushan</v>
      </c>
    </row>
    <row r="289" ht="14.25" customHeight="1">
      <c r="B289" s="47" t="str">
        <f>IFERROR(__xludf.DUMMYFUNCTION("""COMPUTED_VALUE"""),"VT02374")</f>
        <v>VT02374</v>
      </c>
      <c r="C289" s="47" t="str">
        <f>IFERROR(__xludf.DUMMYFUNCTION("""COMPUTED_VALUE"""),"Delphine")</f>
        <v>Delphine</v>
      </c>
      <c r="D289" s="47" t="str">
        <f>IFERROR(__xludf.DUMMYFUNCTION("""COMPUTED_VALUE"""),"Jewis")</f>
        <v>Jewis</v>
      </c>
    </row>
    <row r="290" ht="14.25" customHeight="1">
      <c r="B290" s="47" t="str">
        <f>IFERROR(__xludf.DUMMYFUNCTION("""COMPUTED_VALUE"""),"PR03804")</f>
        <v>PR03804</v>
      </c>
      <c r="C290" s="47" t="str">
        <f>IFERROR(__xludf.DUMMYFUNCTION("""COMPUTED_VALUE"""),"Pratigya")</f>
        <v>Pratigya</v>
      </c>
      <c r="D290" s="47" t="str">
        <f>IFERROR(__xludf.DUMMYFUNCTION("""COMPUTED_VALUE"""),"Rema")</f>
        <v>Rema</v>
      </c>
    </row>
    <row r="291" ht="14.25" customHeight="1">
      <c r="B291" s="47" t="str">
        <f>IFERROR(__xludf.DUMMYFUNCTION("""COMPUTED_VALUE"""),"SQ04488")</f>
        <v>SQ04488</v>
      </c>
      <c r="C291" s="47" t="str">
        <f>IFERROR(__xludf.DUMMYFUNCTION("""COMPUTED_VALUE"""),"Ramnath")</f>
        <v>Ramnath</v>
      </c>
      <c r="D291" s="47" t="str">
        <f>IFERROR(__xludf.DUMMYFUNCTION("""COMPUTED_VALUE"""),"Ravuri")</f>
        <v>Ravuri</v>
      </c>
    </row>
    <row r="292" ht="14.25" customHeight="1">
      <c r="B292" s="47" t="str">
        <f>IFERROR(__xludf.DUMMYFUNCTION("""COMPUTED_VALUE"""),"PR02010")</f>
        <v>PR02010</v>
      </c>
      <c r="C292" s="47" t="str">
        <f>IFERROR(__xludf.DUMMYFUNCTION("""COMPUTED_VALUE"""),"Prerana")</f>
        <v>Prerana</v>
      </c>
      <c r="D292" s="47" t="str">
        <f>IFERROR(__xludf.DUMMYFUNCTION("""COMPUTED_VALUE"""),"Nishita")</f>
        <v>Nishita</v>
      </c>
    </row>
    <row r="293" ht="14.25" customHeight="1">
      <c r="B293" s="47" t="str">
        <f>IFERROR(__xludf.DUMMYFUNCTION("""COMPUTED_VALUE"""),"PR02113")</f>
        <v>PR02113</v>
      </c>
      <c r="C293" s="47" t="str">
        <f>IFERROR(__xludf.DUMMYFUNCTION("""COMPUTED_VALUE"""),"Beverie")</f>
        <v>Beverie</v>
      </c>
      <c r="D293" s="47" t="str">
        <f>IFERROR(__xludf.DUMMYFUNCTION("""COMPUTED_VALUE"""),"Moffet")</f>
        <v>Moffet</v>
      </c>
    </row>
    <row r="294" ht="14.25" customHeight="1">
      <c r="B294" s="47" t="str">
        <f>IFERROR(__xludf.DUMMYFUNCTION("""COMPUTED_VALUE"""),"SQ03321")</f>
        <v>SQ03321</v>
      </c>
      <c r="C294" s="47" t="str">
        <f>IFERROR(__xludf.DUMMYFUNCTION("""COMPUTED_VALUE"""),"Gradey")</f>
        <v>Gradey</v>
      </c>
      <c r="D294" s="47" t="str">
        <f>IFERROR(__xludf.DUMMYFUNCTION("""COMPUTED_VALUE"""),"Litton")</f>
        <v>Litton</v>
      </c>
    </row>
    <row r="295" ht="14.25" customHeight="1">
      <c r="B295" s="47" t="str">
        <f>IFERROR(__xludf.DUMMYFUNCTION("""COMPUTED_VALUE"""),"TN04058")</f>
        <v>TN04058</v>
      </c>
      <c r="C295" s="47" t="str">
        <f>IFERROR(__xludf.DUMMYFUNCTION("""COMPUTED_VALUE"""),"Vasu")</f>
        <v>Vasu</v>
      </c>
      <c r="D295" s="47" t="str">
        <f>IFERROR(__xludf.DUMMYFUNCTION("""COMPUTED_VALUE"""),"Nandin")</f>
        <v>Nandin</v>
      </c>
    </row>
    <row r="296" ht="14.25" customHeight="1">
      <c r="B296" s="47" t="str">
        <f>IFERROR(__xludf.DUMMYFUNCTION("""COMPUTED_VALUE"""),"SQ00841")</f>
        <v>SQ00841</v>
      </c>
      <c r="C296" s="47" t="str">
        <f>IFERROR(__xludf.DUMMYFUNCTION("""COMPUTED_VALUE"""),"Bhuvan")</f>
        <v>Bhuvan</v>
      </c>
      <c r="D296" s="47" t="str">
        <f>IFERROR(__xludf.DUMMYFUNCTION("""COMPUTED_VALUE"""),"Pals")</f>
        <v>Pals</v>
      </c>
    </row>
    <row r="297" ht="14.25" customHeight="1">
      <c r="B297" s="47" t="str">
        <f>IFERROR(__xludf.DUMMYFUNCTION("""COMPUTED_VALUE"""),"SQ04603")</f>
        <v>SQ04603</v>
      </c>
      <c r="C297" s="47" t="str">
        <f>IFERROR(__xludf.DUMMYFUNCTION("""COMPUTED_VALUE"""),"Natalee")</f>
        <v>Natalee</v>
      </c>
      <c r="D297" s="47" t="str">
        <f>IFERROR(__xludf.DUMMYFUNCTION("""COMPUTED_VALUE"""),"Craiker")</f>
        <v>Craiker</v>
      </c>
    </row>
    <row r="298" ht="14.25" customHeight="1">
      <c r="B298" s="47" t="str">
        <f>IFERROR(__xludf.DUMMYFUNCTION("""COMPUTED_VALUE"""),"TN03068")</f>
        <v>TN03068</v>
      </c>
      <c r="C298" s="47" t="str">
        <f>IFERROR(__xludf.DUMMYFUNCTION("""COMPUTED_VALUE"""),"Gumwant")</f>
        <v>Gumwant</v>
      </c>
      <c r="D298" s="47" t="str">
        <f>IFERROR(__xludf.DUMMYFUNCTION("""COMPUTED_VALUE"""),"Veera")</f>
        <v>Veera</v>
      </c>
    </row>
    <row r="299" ht="14.25" customHeight="1">
      <c r="B299" s="47" t="str">
        <f>IFERROR(__xludf.DUMMYFUNCTION("""COMPUTED_VALUE"""),"VT03701")</f>
        <v>VT03701</v>
      </c>
      <c r="C299" s="47" t="str">
        <f>IFERROR(__xludf.DUMMYFUNCTION("""COMPUTED_VALUE"""),"Narois")</f>
        <v>Narois</v>
      </c>
      <c r="D299" s="47" t="str">
        <f>IFERROR(__xludf.DUMMYFUNCTION("""COMPUTED_VALUE"""),"Motiwala")</f>
        <v>Motiwala</v>
      </c>
    </row>
    <row r="300" ht="14.25" customHeight="1">
      <c r="B300" s="47" t="str">
        <f>IFERROR(__xludf.DUMMYFUNCTION("""COMPUTED_VALUE"""),"VT02374")</f>
        <v>VT02374</v>
      </c>
      <c r="C300" s="47" t="str">
        <f>IFERROR(__xludf.DUMMYFUNCTION("""COMPUTED_VALUE"""),"Delphine")</f>
        <v>Delphine</v>
      </c>
      <c r="D300" s="47" t="str">
        <f>IFERROR(__xludf.DUMMYFUNCTION("""COMPUTED_VALUE"""),"Jewis")</f>
        <v>Jewis</v>
      </c>
    </row>
    <row r="301" ht="14.25" customHeight="1">
      <c r="B301" s="47" t="str">
        <f>IFERROR(__xludf.DUMMYFUNCTION("""COMPUTED_VALUE"""),"PR01956")</f>
        <v>PR01956</v>
      </c>
      <c r="C301" s="47" t="str">
        <f>IFERROR(__xludf.DUMMYFUNCTION("""COMPUTED_VALUE"""),"Jamesy")</f>
        <v>Jamesy</v>
      </c>
      <c r="D301" s="47" t="str">
        <f>IFERROR(__xludf.DUMMYFUNCTION("""COMPUTED_VALUE"""),"O'Ferris")</f>
        <v>O'Ferris</v>
      </c>
    </row>
    <row r="302" ht="14.25" customHeight="1">
      <c r="B302" s="47" t="str">
        <f>IFERROR(__xludf.DUMMYFUNCTION("""COMPUTED_VALUE"""),"SQ03626")</f>
        <v>SQ03626</v>
      </c>
      <c r="C302" s="47" t="str">
        <f>IFERROR(__xludf.DUMMYFUNCTION("""COMPUTED_VALUE"""),"Krishnakanta")</f>
        <v>Krishnakanta</v>
      </c>
      <c r="D302" s="47" t="str">
        <f>IFERROR(__xludf.DUMMYFUNCTION("""COMPUTED_VALUE"""),"Vellanki")</f>
        <v>Vellanki</v>
      </c>
    </row>
    <row r="303" ht="14.25" customHeight="1">
      <c r="B303" s="47" t="str">
        <f>IFERROR(__xludf.DUMMYFUNCTION("""COMPUTED_VALUE"""),"VT01610")</f>
        <v>VT01610</v>
      </c>
      <c r="C303" s="47" t="str">
        <f>IFERROR(__xludf.DUMMYFUNCTION("""COMPUTED_VALUE"""),"Dhruv")</f>
        <v>Dhruv</v>
      </c>
      <c r="D303" s="47" t="str">
        <f>IFERROR(__xludf.DUMMYFUNCTION("""COMPUTED_VALUE"""),"Manjunath")</f>
        <v>Manjunath</v>
      </c>
    </row>
    <row r="304" ht="14.25" customHeight="1">
      <c r="B304" s="47" t="str">
        <f>IFERROR(__xludf.DUMMYFUNCTION("""COMPUTED_VALUE"""),"PR04446")</f>
        <v>PR04446</v>
      </c>
      <c r="C304" s="47" t="str">
        <f>IFERROR(__xludf.DUMMYFUNCTION("""COMPUTED_VALUE"""),"Sameer")</f>
        <v>Sameer</v>
      </c>
      <c r="D304" s="47" t="str">
        <f>IFERROR(__xludf.DUMMYFUNCTION("""COMPUTED_VALUE"""),"Shashank")</f>
        <v>Shashank</v>
      </c>
    </row>
    <row r="305" ht="14.25" customHeight="1">
      <c r="B305" s="47" t="str">
        <f>IFERROR(__xludf.DUMMYFUNCTION("""COMPUTED_VALUE"""),"SQ04960")</f>
        <v>SQ04960</v>
      </c>
      <c r="C305" s="47" t="str">
        <f>IFERROR(__xludf.DUMMYFUNCTION("""COMPUTED_VALUE"""),"Shubhra")</f>
        <v>Shubhra</v>
      </c>
      <c r="D305" s="47" t="str">
        <f>IFERROR(__xludf.DUMMYFUNCTION("""COMPUTED_VALUE"""),"Potla")</f>
        <v>Potla</v>
      </c>
    </row>
    <row r="306" ht="14.25" customHeight="1">
      <c r="B306" s="47" t="str">
        <f>IFERROR(__xludf.DUMMYFUNCTION("""COMPUTED_VALUE"""),"VT02532")</f>
        <v>VT02532</v>
      </c>
      <c r="C306" s="47" t="str">
        <f>IFERROR(__xludf.DUMMYFUNCTION("""COMPUTED_VALUE"""),"Adey")</f>
        <v>Adey</v>
      </c>
      <c r="D306" s="47" t="str">
        <f>IFERROR(__xludf.DUMMYFUNCTION("""COMPUTED_VALUE"""),"Ryal")</f>
        <v>Ryal</v>
      </c>
    </row>
    <row r="307" ht="14.25" customHeight="1">
      <c r="B307" s="47" t="str">
        <f>IFERROR(__xludf.DUMMYFUNCTION("""COMPUTED_VALUE"""),"SQ03116")</f>
        <v>SQ03116</v>
      </c>
      <c r="C307" s="47" t="str">
        <f>IFERROR(__xludf.DUMMYFUNCTION("""COMPUTED_VALUE"""),"Syd")</f>
        <v>Syd</v>
      </c>
      <c r="D307" s="47" t="str">
        <f>IFERROR(__xludf.DUMMYFUNCTION("""COMPUTED_VALUE"""),"Fearn")</f>
        <v>Fearn</v>
      </c>
    </row>
    <row r="308" ht="14.25" customHeight="1">
      <c r="B308" s="47" t="str">
        <f>IFERROR(__xludf.DUMMYFUNCTION("""COMPUTED_VALUE"""),"VT04552")</f>
        <v>VT04552</v>
      </c>
      <c r="C308" s="47" t="str">
        <f>IFERROR(__xludf.DUMMYFUNCTION("""COMPUTED_VALUE"""),"Theresita")</f>
        <v>Theresita</v>
      </c>
      <c r="D308" s="47" t="str">
        <f>IFERROR(__xludf.DUMMYFUNCTION("""COMPUTED_VALUE"""),"Chasmer")</f>
        <v>Chasmer</v>
      </c>
    </row>
    <row r="309" ht="14.25" customHeight="1">
      <c r="B309" s="47" t="str">
        <f>IFERROR(__xludf.DUMMYFUNCTION("""COMPUTED_VALUE"""),"SQ04665")</f>
        <v>SQ04665</v>
      </c>
      <c r="C309" s="47" t="str">
        <f>IFERROR(__xludf.DUMMYFUNCTION("""COMPUTED_VALUE"""),"Collin")</f>
        <v>Collin</v>
      </c>
      <c r="D309" s="47" t="str">
        <f>IFERROR(__xludf.DUMMYFUNCTION("""COMPUTED_VALUE"""),"Jagson")</f>
        <v>Jagson</v>
      </c>
    </row>
    <row r="310" ht="14.25" customHeight="1">
      <c r="B310" s="47" t="str">
        <f>IFERROR(__xludf.DUMMYFUNCTION("""COMPUTED_VALUE"""),"VT01101")</f>
        <v>VT01101</v>
      </c>
      <c r="C310" s="47" t="str">
        <f>IFERROR(__xludf.DUMMYFUNCTION("""COMPUTED_VALUE"""),"Adela")</f>
        <v>Adela</v>
      </c>
      <c r="D310" s="47" t="str">
        <f>IFERROR(__xludf.DUMMYFUNCTION("""COMPUTED_VALUE"""),"Dowsett")</f>
        <v>Dowsett</v>
      </c>
    </row>
    <row r="311" ht="14.25" customHeight="1">
      <c r="B311" s="47" t="str">
        <f>IFERROR(__xludf.DUMMYFUNCTION("""COMPUTED_VALUE"""),"VT00596")</f>
        <v>VT00596</v>
      </c>
      <c r="C311" s="47" t="str">
        <f>IFERROR(__xludf.DUMMYFUNCTION("""COMPUTED_VALUE"""),"Letisha")</f>
        <v>Letisha</v>
      </c>
      <c r="D311" s="47" t="str">
        <f>IFERROR(__xludf.DUMMYFUNCTION("""COMPUTED_VALUE"""),"Carrett")</f>
        <v>Carrett</v>
      </c>
    </row>
    <row r="312" ht="14.25" customHeight="1">
      <c r="B312" s="47" t="str">
        <f>IFERROR(__xludf.DUMMYFUNCTION("""COMPUTED_VALUE"""),"TN00083")</f>
        <v>TN00083</v>
      </c>
      <c r="C312" s="47" t="str">
        <f>IFERROR(__xludf.DUMMYFUNCTION("""COMPUTED_VALUE"""),"Chandana")</f>
        <v>Chandana</v>
      </c>
      <c r="D312" s="47" t="str">
        <f>IFERROR(__xludf.DUMMYFUNCTION("""COMPUTED_VALUE"""),"Sannidhi")</f>
        <v>Sannidhi</v>
      </c>
    </row>
    <row r="313" ht="14.25" customHeight="1">
      <c r="B313" s="47" t="str">
        <f>IFERROR(__xludf.DUMMYFUNCTION("""COMPUTED_VALUE"""),"SQ00914")</f>
        <v>SQ00914</v>
      </c>
      <c r="C313" s="47" t="str">
        <f>IFERROR(__xludf.DUMMYFUNCTION("""COMPUTED_VALUE"""),"Karuna")</f>
        <v>Karuna</v>
      </c>
      <c r="D313" s="47" t="str">
        <f>IFERROR(__xludf.DUMMYFUNCTION("""COMPUTED_VALUE"""),"Pashupathy")</f>
        <v>Pashupathy</v>
      </c>
    </row>
    <row r="314" ht="14.25" customHeight="1">
      <c r="B314" s="47" t="str">
        <f>IFERROR(__xludf.DUMMYFUNCTION("""COMPUTED_VALUE"""),"TN02674")</f>
        <v>TN02674</v>
      </c>
      <c r="C314" s="47" t="str">
        <f>IFERROR(__xludf.DUMMYFUNCTION("""COMPUTED_VALUE"""),"Antonetta")</f>
        <v>Antonetta</v>
      </c>
      <c r="D314" s="47" t="str">
        <f>IFERROR(__xludf.DUMMYFUNCTION("""COMPUTED_VALUE"""),"Coggeshall")</f>
        <v>Coggeshall</v>
      </c>
    </row>
    <row r="315" ht="14.25" customHeight="1">
      <c r="B315" s="47" t="str">
        <f>IFERROR(__xludf.DUMMYFUNCTION("""COMPUTED_VALUE"""),"SQ03350")</f>
        <v>SQ03350</v>
      </c>
      <c r="C315" s="47" t="str">
        <f>IFERROR(__xludf.DUMMYFUNCTION("""COMPUTED_VALUE"""),"Felice")</f>
        <v>Felice</v>
      </c>
      <c r="D315" s="47" t="str">
        <f>IFERROR(__xludf.DUMMYFUNCTION("""COMPUTED_VALUE"""),"McMurty")</f>
        <v>McMurty</v>
      </c>
    </row>
    <row r="316" ht="14.25" customHeight="1">
      <c r="B316" s="47" t="str">
        <f>IFERROR(__xludf.DUMMYFUNCTION("""COMPUTED_VALUE"""),"PR03886")</f>
        <v>PR03886</v>
      </c>
      <c r="C316" s="47" t="str">
        <f>IFERROR(__xludf.DUMMYFUNCTION("""COMPUTED_VALUE"""),"Edd")</f>
        <v>Edd</v>
      </c>
      <c r="D316" s="47" t="str">
        <f>IFERROR(__xludf.DUMMYFUNCTION("""COMPUTED_VALUE"""),"MacKnockiter")</f>
        <v>MacKnockiter</v>
      </c>
    </row>
    <row r="317" ht="14.25" customHeight="1">
      <c r="B317" s="47" t="str">
        <f>IFERROR(__xludf.DUMMYFUNCTION("""COMPUTED_VALUE"""),"SQ00105")</f>
        <v>SQ00105</v>
      </c>
      <c r="C317" s="47" t="str">
        <f>IFERROR(__xludf.DUMMYFUNCTION("""COMPUTED_VALUE"""),"Sarayu")</f>
        <v>Sarayu</v>
      </c>
      <c r="D317" s="47" t="str">
        <f>IFERROR(__xludf.DUMMYFUNCTION("""COMPUTED_VALUE"""),"Ragunathan")</f>
        <v>Ragunathan</v>
      </c>
    </row>
    <row r="318" ht="14.25" customHeight="1">
      <c r="B318" s="47" t="str">
        <f>IFERROR(__xludf.DUMMYFUNCTION("""COMPUTED_VALUE"""),"SQ02424")</f>
        <v>SQ02424</v>
      </c>
      <c r="C318" s="47" t="str">
        <f>IFERROR(__xludf.DUMMYFUNCTION("""COMPUTED_VALUE"""),"Kevalkumar")</f>
        <v>Kevalkumar</v>
      </c>
      <c r="D318" s="47" t="str">
        <f>IFERROR(__xludf.DUMMYFUNCTION("""COMPUTED_VALUE"""),"Solanki")</f>
        <v>Solanki</v>
      </c>
    </row>
    <row r="319" ht="14.25" customHeight="1">
      <c r="B319" s="47" t="str">
        <f>IFERROR(__xludf.DUMMYFUNCTION("""COMPUTED_VALUE"""),"VT01703")</f>
        <v>VT01703</v>
      </c>
      <c r="C319" s="47" t="str">
        <f>IFERROR(__xludf.DUMMYFUNCTION("""COMPUTED_VALUE"""),"Upendra")</f>
        <v>Upendra</v>
      </c>
      <c r="D319" s="47" t="str">
        <f>IFERROR(__xludf.DUMMYFUNCTION("""COMPUTED_VALUE"""),"Swati")</f>
        <v>Swati</v>
      </c>
    </row>
    <row r="320" ht="14.25" customHeight="1">
      <c r="B320" s="47" t="str">
        <f>IFERROR(__xludf.DUMMYFUNCTION("""COMPUTED_VALUE"""),"VT04373")</f>
        <v>VT04373</v>
      </c>
      <c r="C320" s="47" t="str">
        <f>IFERROR(__xludf.DUMMYFUNCTION("""COMPUTED_VALUE"""),"Edi")</f>
        <v>Edi</v>
      </c>
      <c r="D320" s="47" t="str">
        <f>IFERROR(__xludf.DUMMYFUNCTION("""COMPUTED_VALUE"""),"Hofton")</f>
        <v>Hofton</v>
      </c>
    </row>
    <row r="321" ht="14.25" customHeight="1">
      <c r="B321" s="47" t="str">
        <f>IFERROR(__xludf.DUMMYFUNCTION("""COMPUTED_VALUE"""),"VT01610")</f>
        <v>VT01610</v>
      </c>
      <c r="C321" s="47" t="str">
        <f>IFERROR(__xludf.DUMMYFUNCTION("""COMPUTED_VALUE"""),"Kunja")</f>
        <v>Kunja</v>
      </c>
      <c r="D321" s="47" t="str">
        <f>IFERROR(__xludf.DUMMYFUNCTION("""COMPUTED_VALUE"""),"Prashanta")</f>
        <v>Prashanta</v>
      </c>
    </row>
    <row r="322" ht="14.25" customHeight="1">
      <c r="B322" s="47" t="str">
        <f>IFERROR(__xludf.DUMMYFUNCTION("""COMPUTED_VALUE"""),"PR02016")</f>
        <v>PR02016</v>
      </c>
      <c r="C322" s="47" t="str">
        <f>IFERROR(__xludf.DUMMYFUNCTION("""COMPUTED_VALUE"""),"Iris")</f>
        <v>Iris</v>
      </c>
      <c r="D322" s="47" t="str">
        <f>IFERROR(__xludf.DUMMYFUNCTION("""COMPUTED_VALUE"""),"Wagg")</f>
        <v>Wagg</v>
      </c>
    </row>
    <row r="323" ht="14.25" customHeight="1">
      <c r="B323" s="47" t="str">
        <f>IFERROR(__xludf.DUMMYFUNCTION("""COMPUTED_VALUE"""),"VT04415")</f>
        <v>VT04415</v>
      </c>
      <c r="C323" s="47" t="str">
        <f>IFERROR(__xludf.DUMMYFUNCTION("""COMPUTED_VALUE"""),"Malory")</f>
        <v>Malory</v>
      </c>
      <c r="D323" s="47" t="str">
        <f>IFERROR(__xludf.DUMMYFUNCTION("""COMPUTED_VALUE"""),"Biles")</f>
        <v>Biles</v>
      </c>
    </row>
    <row r="324" ht="14.25" customHeight="1">
      <c r="B324" s="47" t="str">
        <f>IFERROR(__xludf.DUMMYFUNCTION("""COMPUTED_VALUE"""),"TN04067")</f>
        <v>TN04067</v>
      </c>
      <c r="C324" s="47" t="str">
        <f>IFERROR(__xludf.DUMMYFUNCTION("""COMPUTED_VALUE"""),"Lea")</f>
        <v>Lea</v>
      </c>
      <c r="D324" s="47" t="str">
        <f>IFERROR(__xludf.DUMMYFUNCTION("""COMPUTED_VALUE"""),"Chaplin")</f>
        <v>Chaplin</v>
      </c>
    </row>
    <row r="325" ht="14.25" customHeight="1">
      <c r="B325" s="47" t="str">
        <f>IFERROR(__xludf.DUMMYFUNCTION("""COMPUTED_VALUE"""),"TN04175")</f>
        <v>TN04175</v>
      </c>
      <c r="C325" s="47" t="str">
        <f>IFERROR(__xludf.DUMMYFUNCTION("""COMPUTED_VALUE"""),"Hinda")</f>
        <v>Hinda</v>
      </c>
      <c r="D325" s="47" t="str">
        <f>IFERROR(__xludf.DUMMYFUNCTION("""COMPUTED_VALUE"""),"Label")</f>
        <v>Label</v>
      </c>
    </row>
    <row r="326" ht="14.25" customHeight="1">
      <c r="B326" s="47" t="str">
        <f>IFERROR(__xludf.DUMMYFUNCTION("""COMPUTED_VALUE"""),"SQ02174")</f>
        <v>SQ02174</v>
      </c>
      <c r="C326" s="47" t="str">
        <f>IFERROR(__xludf.DUMMYFUNCTION("""COMPUTED_VALUE"""),"Sidoney")</f>
        <v>Sidoney</v>
      </c>
      <c r="D326" s="47" t="str">
        <f>IFERROR(__xludf.DUMMYFUNCTION("""COMPUTED_VALUE"""),"Yitzhok")</f>
        <v>Yitzhok</v>
      </c>
    </row>
    <row r="327" ht="14.25" customHeight="1">
      <c r="B327" s="47" t="str">
        <f>IFERROR(__xludf.DUMMYFUNCTION("""COMPUTED_VALUE"""),"VT00596")</f>
        <v>VT00596</v>
      </c>
      <c r="C327" s="47" t="str">
        <f>IFERROR(__xludf.DUMMYFUNCTION("""COMPUTED_VALUE"""),"Letisha")</f>
        <v>Letisha</v>
      </c>
      <c r="D327" s="47" t="str">
        <f>IFERROR(__xludf.DUMMYFUNCTION("""COMPUTED_VALUE"""),"Carrett")</f>
        <v>Carrett</v>
      </c>
    </row>
    <row r="328" ht="14.25" customHeight="1">
      <c r="B328" s="47" t="str">
        <f>IFERROR(__xludf.DUMMYFUNCTION("""COMPUTED_VALUE"""),"TN01601")</f>
        <v>TN01601</v>
      </c>
      <c r="C328" s="47" t="str">
        <f>IFERROR(__xludf.DUMMYFUNCTION("""COMPUTED_VALUE"""),"Melva")</f>
        <v>Melva</v>
      </c>
      <c r="D328" s="47" t="str">
        <f>IFERROR(__xludf.DUMMYFUNCTION("""COMPUTED_VALUE"""),"Jickells")</f>
        <v>Jickells</v>
      </c>
    </row>
    <row r="329" ht="14.25" customHeight="1">
      <c r="B329" s="47" t="str">
        <f>IFERROR(__xludf.DUMMYFUNCTION("""COMPUTED_VALUE"""),"SQ01730")</f>
        <v>SQ01730</v>
      </c>
      <c r="C329" s="47" t="str">
        <f>IFERROR(__xludf.DUMMYFUNCTION("""COMPUTED_VALUE"""),"Austine")</f>
        <v>Austine</v>
      </c>
      <c r="D329" s="47" t="str">
        <f>IFERROR(__xludf.DUMMYFUNCTION("""COMPUTED_VALUE"""),"Littlewood")</f>
        <v>Littlewood</v>
      </c>
    </row>
    <row r="330" ht="14.25" customHeight="1">
      <c r="B330" s="47" t="str">
        <f>IFERROR(__xludf.DUMMYFUNCTION("""COMPUTED_VALUE"""),"TN03355")</f>
        <v>TN03355</v>
      </c>
      <c r="C330" s="47" t="str">
        <f>IFERROR(__xludf.DUMMYFUNCTION("""COMPUTED_VALUE"""),"Ruby")</f>
        <v>Ruby</v>
      </c>
      <c r="D330" s="47" t="str">
        <f>IFERROR(__xludf.DUMMYFUNCTION("""COMPUTED_VALUE"""),"Cracie")</f>
        <v>Cracie</v>
      </c>
    </row>
    <row r="331" ht="14.25" customHeight="1">
      <c r="B331" s="47" t="str">
        <f>IFERROR(__xludf.DUMMYFUNCTION("""COMPUTED_VALUE"""),"PR02275")</f>
        <v>PR02275</v>
      </c>
      <c r="C331" s="47" t="str">
        <f>IFERROR(__xludf.DUMMYFUNCTION("""COMPUTED_VALUE"""),"Louise")</f>
        <v>Louise</v>
      </c>
      <c r="D331" s="47" t="str">
        <f>IFERROR(__xludf.DUMMYFUNCTION("""COMPUTED_VALUE"""),"Lamming")</f>
        <v>Lamming</v>
      </c>
    </row>
    <row r="332" ht="14.25" customHeight="1">
      <c r="B332" s="47" t="str">
        <f>IFERROR(__xludf.DUMMYFUNCTION("""COMPUTED_VALUE"""),"PR01055")</f>
        <v>PR01055</v>
      </c>
      <c r="C332" s="47" t="str">
        <f>IFERROR(__xludf.DUMMYFUNCTION("""COMPUTED_VALUE"""),"Devasree")</f>
        <v>Devasree</v>
      </c>
      <c r="D332" s="47" t="str">
        <f>IFERROR(__xludf.DUMMYFUNCTION("""COMPUTED_VALUE"""),"Fullara")</f>
        <v>Fullara</v>
      </c>
    </row>
    <row r="333" ht="14.25" customHeight="1">
      <c r="B333" s="47" t="str">
        <f>IFERROR(__xludf.DUMMYFUNCTION("""COMPUTED_VALUE"""),"TN01601")</f>
        <v>TN01601</v>
      </c>
      <c r="C333" s="47" t="str">
        <f>IFERROR(__xludf.DUMMYFUNCTION("""COMPUTED_VALUE"""),"Melva")</f>
        <v>Melva</v>
      </c>
      <c r="D333" s="47" t="str">
        <f>IFERROR(__xludf.DUMMYFUNCTION("""COMPUTED_VALUE"""),"Jickells")</f>
        <v>Jickells</v>
      </c>
    </row>
    <row r="334" ht="14.25" customHeight="1">
      <c r="B334" s="47" t="str">
        <f>IFERROR(__xludf.DUMMYFUNCTION("""COMPUTED_VALUE"""),"TN03575")</f>
        <v>TN03575</v>
      </c>
      <c r="C334" s="47" t="str">
        <f>IFERROR(__xludf.DUMMYFUNCTION("""COMPUTED_VALUE"""),"Janina")</f>
        <v>Janina</v>
      </c>
      <c r="D334" s="47" t="str">
        <f>IFERROR(__xludf.DUMMYFUNCTION("""COMPUTED_VALUE"""),"Wolverson")</f>
        <v>Wolverson</v>
      </c>
    </row>
    <row r="335" ht="14.25" customHeight="1">
      <c r="B335" s="47" t="str">
        <f>IFERROR(__xludf.DUMMYFUNCTION("""COMPUTED_VALUE"""),"VT04273")</f>
        <v>VT04273</v>
      </c>
      <c r="C335" s="47" t="str">
        <f>IFERROR(__xludf.DUMMYFUNCTION("""COMPUTED_VALUE"""),"Brad")</f>
        <v>Brad</v>
      </c>
      <c r="D335" s="47" t="str">
        <f>IFERROR(__xludf.DUMMYFUNCTION("""COMPUTED_VALUE"""),"Gumb")</f>
        <v>Gumb</v>
      </c>
    </row>
    <row r="336" ht="14.25" customHeight="1">
      <c r="B336" s="47" t="str">
        <f>IFERROR(__xludf.DUMMYFUNCTION("""COMPUTED_VALUE"""),"PR00113")</f>
        <v>PR00113</v>
      </c>
      <c r="C336" s="47" t="str">
        <f>IFERROR(__xludf.DUMMYFUNCTION("""COMPUTED_VALUE"""),"Van")</f>
        <v>Van</v>
      </c>
      <c r="D336" s="47" t="str">
        <f>IFERROR(__xludf.DUMMYFUNCTION("""COMPUTED_VALUE"""),"Tuxwell")</f>
        <v>Tuxwell</v>
      </c>
    </row>
    <row r="337" ht="14.25" customHeight="1">
      <c r="B337" s="47" t="str">
        <f>IFERROR(__xludf.DUMMYFUNCTION("""COMPUTED_VALUE"""),"PR01383")</f>
        <v>PR01383</v>
      </c>
      <c r="C337" s="47" t="str">
        <f>IFERROR(__xludf.DUMMYFUNCTION("""COMPUTED_VALUE"""),"Addi")</f>
        <v>Addi</v>
      </c>
      <c r="D337" s="47" t="str">
        <f>IFERROR(__xludf.DUMMYFUNCTION("""COMPUTED_VALUE"""),"Studdeard")</f>
        <v>Studdeard</v>
      </c>
    </row>
    <row r="338" ht="14.25" customHeight="1">
      <c r="B338" s="47" t="str">
        <f>IFERROR(__xludf.DUMMYFUNCTION("""COMPUTED_VALUE"""),"PR00007")</f>
        <v>PR00007</v>
      </c>
      <c r="C338" s="47" t="str">
        <f>IFERROR(__xludf.DUMMYFUNCTION("""COMPUTED_VALUE"""),"Torrance")</f>
        <v>Torrance</v>
      </c>
      <c r="D338" s="47" t="str">
        <f>IFERROR(__xludf.DUMMYFUNCTION("""COMPUTED_VALUE"""),"Collier")</f>
        <v>Collier</v>
      </c>
    </row>
    <row r="339" ht="14.25" customHeight="1">
      <c r="B339" s="47" t="str">
        <f>IFERROR(__xludf.DUMMYFUNCTION("""COMPUTED_VALUE"""),"SQ03491")</f>
        <v>SQ03491</v>
      </c>
      <c r="C339" s="47" t="str">
        <f>IFERROR(__xludf.DUMMYFUNCTION("""COMPUTED_VALUE"""),"Freda")</f>
        <v>Freda</v>
      </c>
      <c r="D339" s="47" t="str">
        <f>IFERROR(__xludf.DUMMYFUNCTION("""COMPUTED_VALUE"""),"Legan")</f>
        <v>Legan</v>
      </c>
    </row>
    <row r="340" ht="14.25" customHeight="1">
      <c r="B340" s="47" t="str">
        <f>IFERROR(__xludf.DUMMYFUNCTION("""COMPUTED_VALUE"""),"SQ02371")</f>
        <v>SQ02371</v>
      </c>
      <c r="C340" s="47" t="str">
        <f>IFERROR(__xludf.DUMMYFUNCTION("""COMPUTED_VALUE"""),"Alida")</f>
        <v>Alida</v>
      </c>
      <c r="D340" s="47" t="str">
        <f>IFERROR(__xludf.DUMMYFUNCTION("""COMPUTED_VALUE"""),"Welman")</f>
        <v>Welman</v>
      </c>
    </row>
    <row r="341" ht="14.25" customHeight="1">
      <c r="B341" s="47" t="str">
        <f>IFERROR(__xludf.DUMMYFUNCTION("""COMPUTED_VALUE"""),"PR01956")</f>
        <v>PR01956</v>
      </c>
      <c r="C341" s="47" t="str">
        <f>IFERROR(__xludf.DUMMYFUNCTION("""COMPUTED_VALUE"""),"Jamesy")</f>
        <v>Jamesy</v>
      </c>
      <c r="D341" s="47" t="str">
        <f>IFERROR(__xludf.DUMMYFUNCTION("""COMPUTED_VALUE"""),"O'Ferris")</f>
        <v>O'Ferris</v>
      </c>
    </row>
    <row r="342" ht="14.25" customHeight="1">
      <c r="B342" s="47" t="str">
        <f>IFERROR(__xludf.DUMMYFUNCTION("""COMPUTED_VALUE"""),"TN02674")</f>
        <v>TN02674</v>
      </c>
      <c r="C342" s="47" t="str">
        <f>IFERROR(__xludf.DUMMYFUNCTION("""COMPUTED_VALUE"""),"Antonetta")</f>
        <v>Antonetta</v>
      </c>
      <c r="D342" s="47" t="str">
        <f>IFERROR(__xludf.DUMMYFUNCTION("""COMPUTED_VALUE"""),"Coggeshall")</f>
        <v>Coggeshall</v>
      </c>
    </row>
    <row r="343" ht="14.25" customHeight="1">
      <c r="B343" s="47" t="str">
        <f>IFERROR(__xludf.DUMMYFUNCTION("""COMPUTED_VALUE"""),"PR00113")</f>
        <v>PR00113</v>
      </c>
      <c r="C343" s="47" t="str">
        <f>IFERROR(__xludf.DUMMYFUNCTION("""COMPUTED_VALUE"""),"Van")</f>
        <v>Van</v>
      </c>
      <c r="D343" s="47" t="str">
        <f>IFERROR(__xludf.DUMMYFUNCTION("""COMPUTED_VALUE"""),"Tuxwell")</f>
        <v>Tuxwell</v>
      </c>
    </row>
    <row r="344" ht="14.25" customHeight="1">
      <c r="B344" s="47" t="str">
        <f>IFERROR(__xludf.DUMMYFUNCTION("""COMPUTED_VALUE"""),"TN02205")</f>
        <v>TN02205</v>
      </c>
      <c r="C344" s="47" t="str">
        <f>IFERROR(__xludf.DUMMYFUNCTION("""COMPUTED_VALUE"""),"Madhumati")</f>
        <v>Madhumati</v>
      </c>
      <c r="D344" s="47" t="str">
        <f>IFERROR(__xludf.DUMMYFUNCTION("""COMPUTED_VALUE"""),"Gazala")</f>
        <v>Gazala</v>
      </c>
    </row>
    <row r="345" ht="14.25" customHeight="1">
      <c r="B345" s="47" t="str">
        <f>IFERROR(__xludf.DUMMYFUNCTION("""COMPUTED_VALUE"""),"VT00740")</f>
        <v>VT00740</v>
      </c>
      <c r="C345" s="47" t="str">
        <f>IFERROR(__xludf.DUMMYFUNCTION("""COMPUTED_VALUE"""),"Chitrasen")</f>
        <v>Chitrasen</v>
      </c>
      <c r="D345" s="47" t="str">
        <f>IFERROR(__xludf.DUMMYFUNCTION("""COMPUTED_VALUE"""),"Laul")</f>
        <v>Laul</v>
      </c>
    </row>
    <row r="346" ht="14.25" customHeight="1">
      <c r="B346" s="47" t="str">
        <f>IFERROR(__xludf.DUMMYFUNCTION("""COMPUTED_VALUE"""),"SQ03112")</f>
        <v>SQ03112</v>
      </c>
      <c r="C346" s="47" t="str">
        <f>IFERROR(__xludf.DUMMYFUNCTION("""COMPUTED_VALUE"""),"Kantimoy")</f>
        <v>Kantimoy</v>
      </c>
      <c r="D346" s="47" t="str">
        <f>IFERROR(__xludf.DUMMYFUNCTION("""COMPUTED_VALUE"""),"Pritish")</f>
        <v>Pritish</v>
      </c>
    </row>
    <row r="347" ht="14.25" customHeight="1">
      <c r="B347" s="47" t="str">
        <f>IFERROR(__xludf.DUMMYFUNCTION("""COMPUTED_VALUE"""),"TN02397")</f>
        <v>TN02397</v>
      </c>
      <c r="C347" s="47" t="str">
        <f>IFERROR(__xludf.DUMMYFUNCTION("""COMPUTED_VALUE"""),"Mendel")</f>
        <v>Mendel</v>
      </c>
      <c r="D347" s="47" t="str">
        <f>IFERROR(__xludf.DUMMYFUNCTION("""COMPUTED_VALUE"""),"Gentsch")</f>
        <v>Gentsch</v>
      </c>
    </row>
    <row r="348" ht="14.25" customHeight="1">
      <c r="B348" s="47" t="str">
        <f>IFERROR(__xludf.DUMMYFUNCTION("""COMPUTED_VALUE"""),"TN02204")</f>
        <v>TN02204</v>
      </c>
      <c r="C348" s="47" t="str">
        <f>IFERROR(__xludf.DUMMYFUNCTION("""COMPUTED_VALUE"""),"Aldrich")</f>
        <v>Aldrich</v>
      </c>
      <c r="D348" s="47" t="str">
        <f>IFERROR(__xludf.DUMMYFUNCTION("""COMPUTED_VALUE"""),"Glenny")</f>
        <v>Glenny</v>
      </c>
    </row>
    <row r="349" ht="14.25" customHeight="1">
      <c r="B349" s="47" t="str">
        <f>IFERROR(__xludf.DUMMYFUNCTION("""COMPUTED_VALUE"""),"VT03771")</f>
        <v>VT03771</v>
      </c>
      <c r="C349" s="47" t="str">
        <f>IFERROR(__xludf.DUMMYFUNCTION("""COMPUTED_VALUE"""),"Marjie")</f>
        <v>Marjie</v>
      </c>
      <c r="D349" s="47" t="str">
        <f>IFERROR(__xludf.DUMMYFUNCTION("""COMPUTED_VALUE"""),"Bamford")</f>
        <v>Bamford</v>
      </c>
    </row>
    <row r="350" ht="14.25" customHeight="1">
      <c r="B350" s="47" t="str">
        <f>IFERROR(__xludf.DUMMYFUNCTION("""COMPUTED_VALUE"""),"SQ04613")</f>
        <v>SQ04613</v>
      </c>
      <c r="C350" s="47" t="str">
        <f>IFERROR(__xludf.DUMMYFUNCTION("""COMPUTED_VALUE"""),"Sarojini")</f>
        <v>Sarojini</v>
      </c>
      <c r="D350" s="47" t="str">
        <f>IFERROR(__xludf.DUMMYFUNCTION("""COMPUTED_VALUE"""),"Naueshwara")</f>
        <v>Naueshwara</v>
      </c>
    </row>
    <row r="351" ht="14.25" customHeight="1">
      <c r="B351" s="47" t="str">
        <f>IFERROR(__xludf.DUMMYFUNCTION("""COMPUTED_VALUE"""),"VT03421")</f>
        <v>VT03421</v>
      </c>
      <c r="C351" s="47" t="str">
        <f>IFERROR(__xludf.DUMMYFUNCTION("""COMPUTED_VALUE"""),"Alic")</f>
        <v>Alic</v>
      </c>
      <c r="D351" s="47" t="str">
        <f>IFERROR(__xludf.DUMMYFUNCTION("""COMPUTED_VALUE"""),"Bagg")</f>
        <v>Bagg</v>
      </c>
    </row>
    <row r="352" ht="14.25" customHeight="1">
      <c r="B352" s="47" t="str">
        <f>IFERROR(__xludf.DUMMYFUNCTION("""COMPUTED_VALUE"""),"PR02436")</f>
        <v>PR02436</v>
      </c>
      <c r="C352" s="47" t="str">
        <f>IFERROR(__xludf.DUMMYFUNCTION("""COMPUTED_VALUE"""),"Marmaduke")</f>
        <v>Marmaduke</v>
      </c>
      <c r="D352" s="47" t="str">
        <f>IFERROR(__xludf.DUMMYFUNCTION("""COMPUTED_VALUE"""),"Worssam")</f>
        <v>Worssam</v>
      </c>
    </row>
    <row r="353" ht="14.25" customHeight="1">
      <c r="B353" s="47" t="str">
        <f>IFERROR(__xludf.DUMMYFUNCTION("""COMPUTED_VALUE"""),"PR03804")</f>
        <v>PR03804</v>
      </c>
      <c r="C353" s="47" t="str">
        <f>IFERROR(__xludf.DUMMYFUNCTION("""COMPUTED_VALUE"""),"Sartaj")</f>
        <v>Sartaj</v>
      </c>
      <c r="D353" s="47" t="str">
        <f>IFERROR(__xludf.DUMMYFUNCTION("""COMPUTED_VALUE"""),"Probal")</f>
        <v>Probal</v>
      </c>
    </row>
    <row r="354" ht="14.25" customHeight="1">
      <c r="B354" s="47" t="str">
        <f>IFERROR(__xludf.DUMMYFUNCTION("""COMPUTED_VALUE"""),"TN02377")</f>
        <v>TN02377</v>
      </c>
      <c r="C354" s="47" t="str">
        <f>IFERROR(__xludf.DUMMYFUNCTION("""COMPUTED_VALUE"""),"Anjela")</f>
        <v>Anjela</v>
      </c>
      <c r="D354" s="47" t="str">
        <f>IFERROR(__xludf.DUMMYFUNCTION("""COMPUTED_VALUE"""),"Spancock")</f>
        <v>Spancock</v>
      </c>
    </row>
    <row r="355" ht="14.25" customHeight="1">
      <c r="B355" s="47" t="str">
        <f>IFERROR(__xludf.DUMMYFUNCTION("""COMPUTED_VALUE"""),"SQ03625")</f>
        <v>SQ03625</v>
      </c>
      <c r="C355" s="47" t="str">
        <f>IFERROR(__xludf.DUMMYFUNCTION("""COMPUTED_VALUE"""),"Fidela")</f>
        <v>Fidela</v>
      </c>
      <c r="D355" s="47" t="str">
        <f>IFERROR(__xludf.DUMMYFUNCTION("""COMPUTED_VALUE"""),"Artis")</f>
        <v>Artis</v>
      </c>
    </row>
    <row r="356" ht="14.25" customHeight="1"/>
    <row r="357" ht="14.25" customHeight="1"/>
    <row r="358" ht="14.25" customHeight="1"/>
    <row r="359" ht="14.25" customHeight="1">
      <c r="A359" s="14" t="s">
        <v>717</v>
      </c>
      <c r="B359" s="11"/>
      <c r="C359" s="11"/>
      <c r="D359" s="11"/>
      <c r="E359" s="11"/>
      <c r="F359" s="11"/>
    </row>
    <row r="360" ht="14.25" customHeight="1"/>
    <row r="361" ht="14.25" customHeight="1">
      <c r="A361" s="61" t="s">
        <v>721</v>
      </c>
      <c r="B361" s="39">
        <f>COUNTA(Staff[Emp ID])</f>
        <v>260</v>
      </c>
      <c r="C361" s="62">
        <f>AVERAGEA(Staff[Salary])</f>
        <v>73861.32523</v>
      </c>
      <c r="D361" s="39"/>
      <c r="E361" s="62">
        <f>MAXA(Staff[Salary])</f>
        <v>120000</v>
      </c>
      <c r="F361" s="39"/>
      <c r="G361" s="39"/>
    </row>
    <row r="362" ht="14.25" customHeight="1"/>
    <row r="363" ht="14.25" customHeight="1">
      <c r="A363" s="63" t="s">
        <v>14</v>
      </c>
      <c r="B363" s="63" t="s">
        <v>101</v>
      </c>
      <c r="C363" s="63" t="s">
        <v>732</v>
      </c>
      <c r="D363" s="63" t="s">
        <v>734</v>
      </c>
      <c r="E363" s="63" t="s">
        <v>735</v>
      </c>
      <c r="F363" s="63" t="s">
        <v>736</v>
      </c>
      <c r="G363" s="63" t="s">
        <v>738</v>
      </c>
    </row>
    <row r="364" ht="14.25" customHeight="1">
      <c r="A364" s="47" t="str">
        <f t="array" ref="A364:A375">SORT(UNIQUE(Staff[Department]))</f>
        <v>Accounting</v>
      </c>
      <c r="B364" s="47">
        <f>COUNTIFS(Staff[Department],$A$364:$A$375)</f>
        <v>26</v>
      </c>
      <c r="C364" s="64">
        <f>AVERAGEIFS(Staff[Salary],Staff[Department],$A$364:$A$375)</f>
        <v>69806.94577</v>
      </c>
      <c r="D364" s="64">
        <f t="shared" ref="D364:D375" si="1">C364-$C$361</f>
        <v>-4054.379462</v>
      </c>
      <c r="E364" s="64">
        <f>MAXIFS(Staff[Salary],Staff[Department],A364:A375)</f>
        <v>119022.49</v>
      </c>
      <c r="F364" s="64">
        <f>IFERROR(__xludf.DUMMYFUNCTION("MEDIAN(filter(Staff[Salary], Staff[Department]=A364))"),69025.61499999999)</f>
        <v>69025.615</v>
      </c>
      <c r="G364" s="65">
        <f>DIVIDE(COUNTIFS(Staff[Gender],"Female",Staff[Department],A364),$B$361)</f>
        <v>0.03461538462</v>
      </c>
    </row>
    <row r="365" ht="14.25" customHeight="1">
      <c r="A365" s="47" t="s">
        <v>46</v>
      </c>
      <c r="B365" s="47">
        <f>COUNTIFS(Staff[Department],$A$364:$A$375)</f>
        <v>26</v>
      </c>
      <c r="C365" s="64">
        <f>AVERAGEIFS(Staff[Salary],Staff[Department],$A$364:$A$375)</f>
        <v>79781.80577</v>
      </c>
      <c r="D365" s="64">
        <f t="shared" si="1"/>
        <v>5920.480538</v>
      </c>
      <c r="E365" s="64">
        <f>MAXIFS(Staff[Salary],Staff[Department],A365:A376)</f>
        <v>110042.37</v>
      </c>
      <c r="F365" s="64">
        <f>IFERROR(__xludf.DUMMYFUNCTION("MEDIAN(filter(Staff[Salary], Staff[Department]=A365))"),80695.74)</f>
        <v>80695.74</v>
      </c>
      <c r="G365" s="65">
        <f>DIVIDE(COUNTIFS(Staff[Gender],"Female",Staff[Department],A365),$B$361)</f>
        <v>0.04230769231</v>
      </c>
    </row>
    <row r="366" ht="14.25" customHeight="1">
      <c r="A366" s="47" t="s">
        <v>31</v>
      </c>
      <c r="B366" s="47">
        <f>COUNTIFS(Staff[Department],$A$364:$A$375)</f>
        <v>26</v>
      </c>
      <c r="C366" s="64">
        <f>AVERAGEIFS(Staff[Salary],Staff[Department],$A$364:$A$375)</f>
        <v>81976.44192</v>
      </c>
      <c r="D366" s="64">
        <f t="shared" si="1"/>
        <v>8115.116692</v>
      </c>
      <c r="E366" s="64">
        <f>MAXIFS(Staff[Salary],Staff[Department],A366:A377)</f>
        <v>120000</v>
      </c>
      <c r="F366" s="64">
        <f>IFERROR(__xludf.DUMMYFUNCTION("MEDIAN(filter(Staff[Salary], Staff[Department]=A366))"),85332.305)</f>
        <v>85332.305</v>
      </c>
      <c r="G366" s="65">
        <f>DIVIDE(COUNTIFS(Staff[Gender],"Female",Staff[Department],A366),$B$361)</f>
        <v>0.03846153846</v>
      </c>
    </row>
    <row r="367" ht="14.25" customHeight="1">
      <c r="A367" s="47" t="s">
        <v>155</v>
      </c>
      <c r="B367" s="47">
        <f>COUNTIFS(Staff[Department],$A$364:$A$375)</f>
        <v>22</v>
      </c>
      <c r="C367" s="64">
        <f>AVERAGEIFS(Staff[Salary],Staff[Department],$A$364:$A$375)</f>
        <v>73109.37773</v>
      </c>
      <c r="D367" s="64">
        <f t="shared" si="1"/>
        <v>-751.9475035</v>
      </c>
      <c r="E367" s="64">
        <f>MAXIFS(Staff[Salary],Staff[Department],A367:A378)</f>
        <v>103494.94</v>
      </c>
      <c r="F367" s="64">
        <f>IFERROR(__xludf.DUMMYFUNCTION("MEDIAN(filter(Staff[Salary], Staff[Department]=A367))"),73182.795)</f>
        <v>73182.795</v>
      </c>
      <c r="G367" s="65">
        <f>DIVIDE(COUNTIFS(Staff[Gender],"Female",Staff[Department],A367),$B$361)</f>
        <v>0.02692307692</v>
      </c>
    </row>
    <row r="368" ht="14.25" customHeight="1">
      <c r="A368" s="47" t="s">
        <v>266</v>
      </c>
      <c r="B368" s="47">
        <f>COUNTIFS(Staff[Department],$A$364:$A$375)</f>
        <v>21</v>
      </c>
      <c r="C368" s="64">
        <f>AVERAGEIFS(Staff[Salary],Staff[Department],$A$364:$A$375)</f>
        <v>67242.51762</v>
      </c>
      <c r="D368" s="64">
        <f t="shared" si="1"/>
        <v>-6618.807612</v>
      </c>
      <c r="E368" s="64">
        <f>MAXIFS(Staff[Salary],Staff[Department],A368:A379)</f>
        <v>113747.56</v>
      </c>
      <c r="F368" s="64">
        <f>IFERROR(__xludf.DUMMYFUNCTION("MEDIAN(filter(Staff[Salary], Staff[Department]=A368))"),66572.58)</f>
        <v>66572.58</v>
      </c>
      <c r="G368" s="65">
        <f>DIVIDE(COUNTIFS(Staff[Gender],"Female",Staff[Department],A368),$B$361)</f>
        <v>0.02692307692</v>
      </c>
    </row>
    <row r="369" ht="14.25" customHeight="1">
      <c r="A369" s="47" t="s">
        <v>103</v>
      </c>
      <c r="B369" s="47">
        <f>COUNTIFS(Staff[Department],$A$364:$A$375)</f>
        <v>12</v>
      </c>
      <c r="C369" s="64">
        <f>AVERAGEIFS(Staff[Salary],Staff[Department],$A$364:$A$375)</f>
        <v>64441.3</v>
      </c>
      <c r="D369" s="64">
        <f t="shared" si="1"/>
        <v>-9420.025231</v>
      </c>
      <c r="E369" s="64">
        <f>MAXIFS(Staff[Salary],Staff[Department],A369:A380)</f>
        <v>104903.79</v>
      </c>
      <c r="F369" s="64">
        <f>IFERROR(__xludf.DUMMYFUNCTION("MEDIAN(filter(Staff[Salary], Staff[Department]=A369))"),66961.48999999999)</f>
        <v>66961.49</v>
      </c>
      <c r="G369" s="65">
        <f>DIVIDE(COUNTIFS(Staff[Gender],"Female",Staff[Department],A369),$B$361)</f>
        <v>0.01923076923</v>
      </c>
    </row>
    <row r="370" ht="14.25" customHeight="1">
      <c r="A370" s="47" t="s">
        <v>254</v>
      </c>
      <c r="B370" s="47">
        <f>COUNTIFS(Staff[Department],$A$364:$A$375)</f>
        <v>29</v>
      </c>
      <c r="C370" s="64">
        <f>AVERAGEIFS(Staff[Salary],Staff[Department],$A$364:$A$375)</f>
        <v>75179.06448</v>
      </c>
      <c r="D370" s="64">
        <f t="shared" si="1"/>
        <v>1317.739252</v>
      </c>
      <c r="E370" s="64">
        <f>MAXIFS(Staff[Salary],Staff[Department],A370:A381)</f>
        <v>115191.38</v>
      </c>
      <c r="F370" s="64">
        <f>IFERROR(__xludf.DUMMYFUNCTION("MEDIAN(filter(Staff[Salary], Staff[Department]=A370))"),72502.61)</f>
        <v>72502.61</v>
      </c>
      <c r="G370" s="65">
        <f>DIVIDE(COUNTIFS(Staff[Gender],"Female",Staff[Department],A370),$B$361)</f>
        <v>0.06538461538</v>
      </c>
    </row>
    <row r="371" ht="14.25" customHeight="1">
      <c r="A371" s="47" t="s">
        <v>115</v>
      </c>
      <c r="B371" s="47">
        <f>COUNTIFS(Staff[Department],$A$364:$A$375)</f>
        <v>18</v>
      </c>
      <c r="C371" s="64">
        <f>AVERAGEIFS(Staff[Salary],Staff[Department],$A$364:$A$375)</f>
        <v>66910.76556</v>
      </c>
      <c r="D371" s="64">
        <f t="shared" si="1"/>
        <v>-6950.559675</v>
      </c>
      <c r="E371" s="64">
        <f>MAXIFS(Staff[Salary],Staff[Department],A371:A382)</f>
        <v>99683.67</v>
      </c>
      <c r="F371" s="64">
        <f>IFERROR(__xludf.DUMMYFUNCTION("MEDIAN(filter(Staff[Salary], Staff[Department]=A371))"),65995.375)</f>
        <v>65995.375</v>
      </c>
      <c r="G371" s="65">
        <f>DIVIDE(COUNTIFS(Staff[Gender],"Female",Staff[Department],A371),$B$361)</f>
        <v>0.04230769231</v>
      </c>
    </row>
    <row r="372" ht="14.25" customHeight="1">
      <c r="A372" s="47" t="s">
        <v>212</v>
      </c>
      <c r="B372" s="47">
        <f>COUNTIFS(Staff[Department],$A$364:$A$375)</f>
        <v>18</v>
      </c>
      <c r="C372" s="64">
        <f>AVERAGEIFS(Staff[Salary],Staff[Department],$A$364:$A$375)</f>
        <v>71897.09556</v>
      </c>
      <c r="D372" s="64">
        <f t="shared" si="1"/>
        <v>-1964.229675</v>
      </c>
      <c r="E372" s="64">
        <f>MAXIFS(Staff[Salary],Staff[Department],A372:A383)</f>
        <v>102129.37</v>
      </c>
      <c r="F372" s="64">
        <f>IFERROR(__xludf.DUMMYFUNCTION("MEDIAN(filter(Staff[Salary], Staff[Department]=A372))"),79396.655)</f>
        <v>79396.655</v>
      </c>
      <c r="G372" s="65">
        <f>DIVIDE(COUNTIFS(Staff[Gender],"Female",Staff[Department],A372),$B$361)</f>
        <v>0.03846153846</v>
      </c>
    </row>
    <row r="373" ht="14.25" customHeight="1">
      <c r="A373" s="47" t="s">
        <v>57</v>
      </c>
      <c r="B373" s="47">
        <f>COUNTIFS(Staff[Department],$A$364:$A$375)</f>
        <v>21</v>
      </c>
      <c r="C373" s="64">
        <f>AVERAGEIFS(Staff[Salary],Staff[Department],$A$364:$A$375)</f>
        <v>74673.97476</v>
      </c>
      <c r="D373" s="64">
        <f t="shared" si="1"/>
        <v>812.6495311</v>
      </c>
      <c r="E373" s="64">
        <f>MAXIFS(Staff[Salary],Staff[Department],A373:A384)</f>
        <v>120000</v>
      </c>
      <c r="F373" s="64">
        <f>IFERROR(__xludf.DUMMYFUNCTION("MEDIAN(filter(Staff[Salary], Staff[Department]=A373))"),77096.05)</f>
        <v>77096.05</v>
      </c>
      <c r="G373" s="65">
        <f>DIVIDE(COUNTIFS(Staff[Gender],"Female",Staff[Department],A373),$B$361)</f>
        <v>0.05</v>
      </c>
    </row>
    <row r="374" ht="14.25" customHeight="1">
      <c r="A374" s="47" t="s">
        <v>91</v>
      </c>
      <c r="B374" s="47">
        <f>COUNTIFS(Staff[Department],$A$364:$A$375)</f>
        <v>17</v>
      </c>
      <c r="C374" s="64">
        <f>AVERAGEIFS(Staff[Salary],Staff[Department],$A$364:$A$375)</f>
        <v>66432.45588</v>
      </c>
      <c r="D374" s="64">
        <f t="shared" si="1"/>
        <v>-7428.869348</v>
      </c>
      <c r="E374" s="64">
        <f>MAXIFS(Staff[Salary],Staff[Department],A374:A385)</f>
        <v>104802.63</v>
      </c>
      <c r="F374" s="64">
        <f>IFERROR(__xludf.DUMMYFUNCTION("MEDIAN(filter(Staff[Salary], Staff[Department]=A374))"),61214.26)</f>
        <v>61214.26</v>
      </c>
      <c r="G374" s="65">
        <f>DIVIDE(COUNTIFS(Staff[Gender],"Female",Staff[Department],A374),$B$361)</f>
        <v>0.03076923077</v>
      </c>
    </row>
    <row r="375" ht="14.25" customHeight="1">
      <c r="A375" s="47" t="s">
        <v>65</v>
      </c>
      <c r="B375" s="47">
        <f>COUNTIFS(Staff[Department],$A$364:$A$375)</f>
        <v>24</v>
      </c>
      <c r="C375" s="64">
        <f>AVERAGEIFS(Staff[Salary],Staff[Department],$A$364:$A$375)</f>
        <v>83883.965</v>
      </c>
      <c r="D375" s="64">
        <f t="shared" si="1"/>
        <v>10022.63977</v>
      </c>
      <c r="E375" s="64">
        <f>MAXIFS(Staff[Salary],Staff[Department],A375:A386)</f>
        <v>116767.63</v>
      </c>
      <c r="F375" s="64">
        <f>IFERROR(__xludf.DUMMYFUNCTION("MEDIAN(filter(Staff[Salary], Staff[Department]=A375))"),89569.44)</f>
        <v>89569.44</v>
      </c>
      <c r="G375" s="65">
        <f>DIVIDE(COUNTIFS(Staff[Gender],"Female",Staff[Department],A375),$B$361)</f>
        <v>0.06538461538</v>
      </c>
    </row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customSheetViews>
    <customSheetView guid="{1036238D-544E-4D2F-AC4D-1DE43BEAAE1E}" filter="1" showAutoFilter="1">
      <autoFilter ref="$B$3:$F$15"/>
    </customSheetView>
  </customSheetViews>
  <mergeCells count="9">
    <mergeCell ref="A213:F213"/>
    <mergeCell ref="A359:F359"/>
    <mergeCell ref="B1:F1"/>
    <mergeCell ref="B20:N20"/>
    <mergeCell ref="A72:E72"/>
    <mergeCell ref="A120:F120"/>
    <mergeCell ref="A135:F135"/>
    <mergeCell ref="A156:F156"/>
    <mergeCell ref="A173:F173"/>
  </mergeCells>
  <dataValidations>
    <dataValidation type="custom" allowBlank="1" showDropDown="1" sqref="B138:D152">
      <formula1>AND(ISNUMBER(B138),(NOT(OR(NOT(ISERROR(DATEVALUE(B138))), AND(ISNUMBER(B138), LEFT(CELL("format", B138))="D")))))</formula1>
    </dataValidation>
  </dataValidations>
  <printOptions/>
  <pageMargins bottom="0.75" footer="0.0" header="0.0" left="0.7" right="0.7" top="0.75"/>
  <pageSetup orientation="landscape"/>
  <drawing r:id="rId1"/>
  <tableParts count="12"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</tableParts>
</worksheet>
</file>